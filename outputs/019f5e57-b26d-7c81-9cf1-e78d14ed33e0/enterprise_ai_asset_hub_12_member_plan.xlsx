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28b721337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d5acfe9147724971"/>
    <x:sheet xmlns:r="http://schemas.openxmlformats.org/officeDocument/2006/relationships" name="01_팀배분" sheetId="2" r:id="Reddfe6663c614d07"/>
    <x:sheet xmlns:r="http://schemas.openxmlformats.org/officeDocument/2006/relationships" name="02_전체기능" sheetId="3" r:id="Ra64a1ba42cd54770"/>
    <x:sheet xmlns:r="http://schemas.openxmlformats.org/officeDocument/2006/relationships" name="03_패키지구성" sheetId="4" r:id="R62f131a5b4b64ec9"/>
    <x:sheet xmlns:r="http://schemas.openxmlformats.org/officeDocument/2006/relationships" name="04_일정의존성" sheetId="5" r:id="R5dcb2de1de754bbc"/>
    <x:sheet xmlns:r="http://schemas.openxmlformats.org/officeDocument/2006/relationships" name="05_통합계약" sheetId="6" r:id="R52dc1157d08341e0"/>
    <x:sheet xmlns:r="http://schemas.openxmlformats.org/officeDocument/2006/relationships" name="06_개발규칙" sheetId="7" r:id="R175bc5c77c2f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8"/>
      <x:color rgb="FFFFFFFF"/>
      <x:name val="Malgun Gothic"/>
    </x:font>
    <x:font>
      <x:sz val="10"/>
      <x:color rgb="FF5E6B75"/>
      <x:name val="Malgun Gothic"/>
    </x:font>
    <x:font>
      <x:b/>
      <x:sz val="10"/>
      <x:color rgb="FFFFFFFF"/>
      <x:name val="Malgun Gothic"/>
    </x:font>
    <x:font>
      <x:sz val="9"/>
      <x:color rgb="FF1F2933"/>
      <x:name val="Malgun Gothic"/>
    </x:font>
    <x:font>
      <x:b/>
      <x:sz val="9"/>
      <x:color rgb="FF1F6F78"/>
      <x:name val="Malgun Gothic"/>
    </x:font>
    <x:font>
      <x:b/>
      <x:sz val="11"/>
      <x:color rgb="FFFFFFFF"/>
      <x:name val="Malgun Gothic"/>
    </x:font>
    <x:font>
      <x:b/>
      <x:sz val="11"/>
      <x:color rgb="FF1F6F78"/>
      <x:name val="Malgun Gothic"/>
    </x:font>
    <x:font>
      <x:b/>
      <x:sz val="22"/>
      <x:color rgb="FF17324D"/>
      <x:name val="Malgun Gothic"/>
    </x:font>
    <x:font>
      <x:b/>
      <x:sz val="16"/>
      <x:color rgb="FF2F7656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8"/>
      </x:patternFill>
    </x:fill>
    <x:fill>
      <x:patternFill patternType="solid">
        <x:fgColor rgb="FF1F6F78"/>
      </x:patternFill>
    </x:fill>
    <x:fill>
      <x:patternFill patternType="solid">
        <x:fgColor rgb="FFDDEFF0"/>
      </x:patternFill>
    </x:fill>
    <x:fill>
      <x:patternFill patternType="solid">
        <x:fgColor rgb="FFFFFFFF"/>
      </x:patternFill>
    </x:fill>
    <x:fill>
      <x:patternFill patternType="solid">
        <x:fgColor rgb="FFE2F2E8"/>
      </x:patternFill>
    </x:fill>
  </x:fills>
  <x:borders count="11">
    <x:border/>
    <x:border>
      <x:left style="thin">
        <x:color rgb="FFD7DEE4"/>
      </x:left>
      <x:right style="thin">
        <x:color rgb="FFD7DEE4"/>
      </x:right>
      <x:top style="thin">
        <x:color rgb="FFD7DEE4"/>
      </x:top>
      <x:bottom style="thin">
        <x:color rgb="FFD7DEE4"/>
      </x:bottom>
    </x:border>
    <x:border>
      <x:bottom style="thin">
        <x:color rgb="FFD7DEE4"/>
      </x:bottom>
    </x:border>
    <x:border>
      <x:top style="thin">
        <x:color rgb="FFD7DEE4"/>
      </x:top>
      <x:bottom style="thin">
        <x:color rgb="FFD7DEE4"/>
      </x:bottom>
    </x:border>
    <x:border>
      <x:top style="thin">
        <x:color rgb="FFD7DEE4"/>
      </x:top>
    </x:border>
    <x:border>
      <x:left style="thin">
        <x:color rgb="FFD7DEE4"/>
      </x:left>
      <x:top style="thin">
        <x:color rgb="FFD7DEE4"/>
      </x:top>
      <x:bottom style="thin">
        <x:color rgb="FFD7DEE4"/>
      </x:bottom>
    </x:border>
    <x:border>
      <x:right style="thin">
        <x:color rgb="FFD7DEE4"/>
      </x:right>
      <x:top style="thin">
        <x:color rgb="FFD7DEE4"/>
      </x:top>
      <x:bottom style="thin">
        <x:color rgb="FFD7DEE4"/>
      </x:bottom>
    </x:border>
    <x:border>
      <x:left style="thin">
        <x:color rgb="FFD7DEE4"/>
      </x:left>
      <x:top style="thin">
        <x:color rgb="FFD7DEE4"/>
      </x:top>
    </x:border>
    <x:border>
      <x:right style="thin">
        <x:color rgb="FFD7DEE4"/>
      </x:right>
      <x:top style="thin">
        <x:color rgb="FFD7DEE4"/>
      </x:top>
    </x:border>
    <x:border>
      <x:left style="thin">
        <x:color rgb="FFD7DEE4"/>
      </x:left>
      <x:bottom style="thin">
        <x:color rgb="FFD7DEE4"/>
      </x:bottom>
    </x:border>
    <x:border>
      <x:right style="thin">
        <x:color rgb="FFD7DEE4"/>
      </x:right>
      <x:bottom style="thin">
        <x:color rgb="FFD7DEE4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5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7" xfId="0" applyNumberFormat="1" applyFont="1" applyFill="1" applyBorder="1" applyAlignment="1">
      <x:alignment horizontal="center"/>
    </x:xf>
    <x:xf numFmtId="0" fontId="8" fillId="6" borderId="8" xfId="0" applyNumberFormat="1" applyFont="1" applyFill="1" applyBorder="1" applyAlignment="1">
      <x:alignment horizontal="center"/>
    </x:xf>
    <x:xf numFmtId="0" fontId="8" fillId="6" borderId="9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8" fillId="6" borderId="9" xfId="0" applyNumberFormat="1" applyFont="1" applyFill="1" applyBorder="1" applyAlignment="1">
      <x:alignment horizontal="center" vertical="center"/>
    </x:xf>
    <x:xf numFmtId="0" fontId="8" fillId="6" borderId="1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200" fontId="9" fillId="7" borderId="0" xfId="0" applyNumberFormat="1" applyFont="1" applyFill="1" applyBorder="1"/>
    <x:xf numFmtId="200" fontId="9" fillId="7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horizontal="center" vertical="top"/>
    </x:xf>
    <x:xf numFmtId="0" fontId="7" fillId="5" borderId="6" xfId="0" applyNumberFormat="1" applyFont="1" applyFill="1" applyBorder="1" applyAlignment="1">
      <x:alignment horizontal="center" vertical="top"/>
    </x:xf>
    <x:xf numFmtId="0" fontId="8" fillId="6" borderId="7" xfId="0" applyNumberFormat="1" applyFont="1" applyFill="1" applyBorder="1" applyAlignment="1">
      <x:alignment horizontal="center" vertical="top"/>
    </x:xf>
    <x:xf numFmtId="0" fontId="8" fillId="6" borderId="8" xfId="0" applyNumberFormat="1" applyFont="1" applyFill="1" applyBorder="1" applyAlignment="1">
      <x:alignment horizontal="center" vertical="top"/>
    </x:xf>
    <x:xf numFmtId="0" fontId="8" fillId="6" borderId="9" xfId="0" applyNumberFormat="1" applyFont="1" applyFill="1" applyBorder="1" applyAlignment="1">
      <x:alignment horizontal="center" vertical="top"/>
    </x:xf>
    <x:xf numFmtId="0" fontId="8" fillId="6" borderId="1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/>
    </x:xf>
    <x:xf numFmtId="200" fontId="9" fillId="7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6">
    <x:dxf>
      <x:font>
        <x:b/>
        <x:color rgb="FF2F7656"/>
      </x:font>
      <x:fill>
        <x:patternFill patternType="solid">
          <x:bgColor rgb="FFE2F2E8"/>
        </x:patternFill>
      </x:fill>
    </x:dxf>
    <x:dxf>
      <x:font>
        <x:b/>
        <x:color rgb="FFA5443D"/>
      </x:font>
      <x:fill>
        <x:patternFill patternType="solid">
          <x:bgColor rgb="FFF8E4E1"/>
        </x:patternFill>
      </x:fill>
    </x:dxf>
    <x:dxf>
      <x:font>
        <x:b/>
        <x:color rgb="FF2F7656"/>
      </x:font>
      <x:fill>
        <x:patternFill patternType="solid">
          <x:bgColor rgb="FFE2F2E8"/>
        </x:patternFill>
      </x:fill>
    </x:dxf>
    <x:dxf>
      <x:font>
        <x:b/>
        <x:color rgb="FFB7791F"/>
      </x:font>
      <x:fill>
        <x:patternFill patternType="solid">
          <x:bgColor rgb="FFFFF2D6"/>
        </x:patternFill>
      </x:fill>
    </x:dxf>
    <x:dxf>
      <x:font>
        <x:b/>
        <x:color rgb="FFA5443D"/>
      </x:font>
      <x:fill>
        <x:patternFill patternType="solid">
          <x:bgColor rgb="FFF8E4E1"/>
        </x:patternFill>
      </x:fill>
    </x:dxf>
    <x:dxf>
      <x:font>
        <x:b/>
        <x:color rgb="FFB7791F"/>
      </x:font>
      <x:fill>
        <x:patternFill patternType="solid">
          <x:bgColor rgb="FFFFF2D6"/>
        </x:patternFill>
      </x:fill>
    </x:dxf>
    <x:dxf>
      <x:font>
        <x:b/>
        <x:color rgb="FF2F7656"/>
      </x:font>
      <x:fill>
        <x:patternFill patternType="solid">
          <x:bgColor rgb="FFE2F2E8"/>
        </x:patternFill>
      </x:fill>
    </x:dxf>
    <x:dxf>
      <x:font>
        <x:b/>
        <x:color rgb="FF17324D"/>
      </x:font>
      <x:fill>
        <x:patternFill patternType="solid">
          <x:bgColor rgb="FFE7EEF8"/>
        </x:patternFill>
      </x:fill>
    </x:dxf>
    <x:dxf>
      <x:font>
        <x:b/>
        <x:color rgb="FF1F6F78"/>
      </x:font>
      <x:fill>
        <x:patternFill patternType="solid">
          <x:bgColor rgb="FFDDEFF0"/>
        </x:patternFill>
      </x:fill>
    </x:dxf>
    <x:dxf>
      <x:font>
        <x:b/>
        <x:color rgb="FFB7791F"/>
      </x:font>
      <x:fill>
        <x:patternFill patternType="solid">
          <x:bgColor rgb="FFFFF2D6"/>
        </x:patternFill>
      </x:fill>
    </x:dxf>
    <x:dxf>
      <x:font>
        <x:b/>
        <x:color rgb="FF2F7656"/>
      </x:font>
      <x:fill>
        <x:patternFill patternType="solid">
          <x:bgColor rgb="FFE2F2E8"/>
        </x:patternFill>
      </x:fill>
    </x:dxf>
    <x:dxf>
      <x:font>
        <x:b/>
        <x:color rgb="FF735A9A"/>
      </x:font>
      <x:fill>
        <x:patternFill patternType="solid">
          <x:bgColor rgb="FFEEE8F6"/>
        </x:patternFill>
      </x:fill>
    </x:dxf>
    <x:dxf>
      <x:font>
        <x:b/>
        <x:color rgb="FF735A9A"/>
      </x:font>
      <x:fill>
        <x:patternFill patternType="solid">
          <x:bgColor rgb="FFEEE8F6"/>
        </x:patternFill>
      </x:fill>
    </x:dxf>
    <x:dxf>
      <x:font>
        <x:b/>
        <x:color rgb="FFA5443D"/>
      </x:font>
      <x:fill>
        <x:patternFill patternType="solid">
          <x:bgColor rgb="FFF8E4E1"/>
        </x:patternFill>
      </x:fill>
    </x:dxf>
    <x:dxf>
      <x:font>
        <x:b/>
        <x:color rgb="FFA5443D"/>
      </x:font>
      <x:fill>
        <x:patternFill patternType="solid">
          <x:bgColor rgb="FFF8E4E1"/>
        </x:patternFill>
      </x:fill>
    </x:dxf>
    <x:dxf>
      <x:font>
        <x:b/>
        <x:color rgb="FFA5443D"/>
      </x:font>
      <x:fill>
        <x:patternFill patternType="solid">
          <x:bgColor rgb="FFF8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c9c22bb2f4fa6" /><Relationship Type="http://schemas.openxmlformats.org/officeDocument/2006/relationships/theme" Target="/xl/theme/theme1.xml" Id="Re9dba35a02864351" /><Relationship Type="http://schemas.openxmlformats.org/officeDocument/2006/relationships/sharedStrings" Target="/xl/sharedStrings.xml" Id="R398a6a9921204c35" /><Relationship Type="http://schemas.openxmlformats.org/officeDocument/2006/relationships/worksheet" Target="/xl/worksheets/sheet1.xml" Id="Rd5acfe9147724971" /><Relationship Type="http://schemas.openxmlformats.org/officeDocument/2006/relationships/worksheet" Target="/xl/worksheets/sheet2.xml" Id="Reddfe6663c614d07" /><Relationship Type="http://schemas.openxmlformats.org/officeDocument/2006/relationships/worksheet" Target="/xl/worksheets/sheet3.xml" Id="Ra64a1ba42cd54770" /><Relationship Type="http://schemas.openxmlformats.org/officeDocument/2006/relationships/worksheet" Target="/xl/worksheets/sheet4.xml" Id="R62f131a5b4b64ec9" /><Relationship Type="http://schemas.openxmlformats.org/officeDocument/2006/relationships/worksheet" Target="/xl/worksheets/sheet5.xml" Id="R5dcb2de1de754bbc" /><Relationship Type="http://schemas.openxmlformats.org/officeDocument/2006/relationships/worksheet" Target="/xl/worksheets/sheet6.xml" Id="R52dc1157d08341e0" /><Relationship Type="http://schemas.openxmlformats.org/officeDocument/2006/relationships/worksheet" Target="/xl/worksheets/sheet7.xml" Id="R175bc5c77c2f4741" /></Relationships>
</file>

<file path=xl/tables/table1.xml><?xml version="1.0" encoding="utf-8"?>
<x:table xmlns:x="http://schemas.openxmlformats.org/spreadsheetml/2006/main" id="2" name="TeamModulesTable" displayName="TeamModulesTable" ref="A4:Q16" headerRowCount="1" totalsRowCount="0" totalsRowShown="0">
  <x:tableColumns count="17">
    <x:tableColumn id="1" name="모듈 ID"/>
    <x:tableColumn id="2" name="주 담당"/>
    <x:tableColumn id="3" name="권장 역할"/>
    <x:tableColumn id="4" name="작업 스트림"/>
    <x:tableColumn id="5" name="영역"/>
    <x:tableColumn id="6" name="난이도"/>
    <x:tableColumn id="7" name="권장 수준"/>
    <x:tableColumn id="8" name="핵심 책임"/>
    <x:tableColumn id="9" name="사용 예시"/>
    <x:tableColumn id="10" name="주요 산출물"/>
    <x:tableColumn id="11" name="선행 모듈"/>
    <x:tableColumn id="12" name="교차 검토"/>
    <x:tableColumn id="13" name="통합 파트너"/>
    <x:tableColumn id="14" name="권장 기간"/>
    <x:tableColumn id="15" name="기능 수"/>
    <x:tableColumn id="16" name="MVP 기능"/>
    <x:tableColumn id="17" name="완료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llFunctionsTable" displayName="AllFunctionsTable" ref="A4:P148" headerRowCount="1" totalsRowCount="0" totalsRowShown="0">
  <x:tableColumns count="16">
    <x:tableColumn id="1" name="기능 ID"/>
    <x:tableColumn id="2" name="Depth 1"/>
    <x:tableColumn id="3" name="Depth 2"/>
    <x:tableColumn id="4" name="Depth 3"/>
    <x:tableColumn id="5" name="사용 방식"/>
    <x:tableColumn id="6" name="사용 예시"/>
    <x:tableColumn id="7" name="우선순위"/>
    <x:tableColumn id="8" name="난이도"/>
    <x:tableColumn id="9" name="모듈 ID"/>
    <x:tableColumn id="10" name="담당자"/>
    <x:tableColumn id="11" name="산출물"/>
    <x:tableColumn id="12" name="선행조건"/>
    <x:tableColumn id="13" name="개발 단계"/>
    <x:tableColumn id="14" name="상태"/>
    <x:tableColumn id="15" name="검증 담당"/>
    <x:tableColumn id="16" name="완료 기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agesTable" displayName="PackagesTable" ref="A4:I30" headerRowCount="1" totalsRowCount="0" totalsRowShown="0">
  <x:tableColumns count="9">
    <x:tableColumn id="1" name="Depth 1"/>
    <x:tableColumn id="2" name="Depth 2"/>
    <x:tableColumn id="3" name="패키지/모듈"/>
    <x:tableColumn id="4" name="형태"/>
    <x:tableColumn id="5" name="설치·보관 위치"/>
    <x:tableColumn id="6" name="사용 방식"/>
    <x:tableColumn id="7" name="사용 예시"/>
    <x:tableColumn id="8" name="담당 모듈"/>
    <x:tableColumn id="9" name="필요 시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heduleTable" displayName="ScheduleTable" ref="A4:P16" headerRowCount="1" totalsRowCount="0" totalsRowShown="0">
  <x:tableColumns count="16">
    <x:tableColumn id="1" name="모듈"/>
    <x:tableColumn id="2" name="담당"/>
    <x:tableColumn id="3" name="선행 모듈"/>
    <x:tableColumn id="4" name="W1"/>
    <x:tableColumn id="5" name="W2"/>
    <x:tableColumn id="6" name="W3"/>
    <x:tableColumn id="7" name="W4"/>
    <x:tableColumn id="8" name="W5"/>
    <x:tableColumn id="9" name="W6"/>
    <x:tableColumn id="10" name="W7"/>
    <x:tableColumn id="11" name="W8"/>
    <x:tableColumn id="12" name="W9"/>
    <x:tableColumn id="13" name="W10"/>
    <x:tableColumn id="14" name="주요 통합점"/>
    <x:tableColumn id="15" name="리스크"/>
    <x:tableColumn id="16" name="완료 기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ractsTable" displayName="ContractsTable" ref="A4:I19" headerRowCount="1" totalsRowCount="0" totalsRowShown="0">
  <x:tableColumns count="9">
    <x:tableColumn id="1" name="계약 ID"/>
    <x:tableColumn id="2" name="제공 모듈"/>
    <x:tableColumn id="3" name="소비 모듈"/>
    <x:tableColumn id="4" name="계약 이름"/>
    <x:tableColumn id="5" name="형식"/>
    <x:tableColumn id="6" name="핵심 내용"/>
    <x:tableColumn id="7" name="사용 예시"/>
    <x:tableColumn id="8" name="확정 시점"/>
    <x:tableColumn id="9" name="인수 기준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vRulesTable" displayName="DevRulesTable" ref="A4:F19" headerRowCount="1" totalsRowCount="0" totalsRowShown="0">
  <x:tableColumns count="6">
    <x:tableColumn id="1" name="규칙 ID"/>
    <x:tableColumn id="2" name="구분"/>
    <x:tableColumn id="3" name="규칙"/>
    <x:tableColumn id="4" name="필요 이유"/>
    <x:tableColumn id="5" name="적용 예시"/>
    <x:tableColumn id="6" name="수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e616d9b4fc4e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29b3a1bd294d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962bc794f646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b27238ff814b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85fbcc21414f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e7092828634c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8" hidden="0" customWidth="1"/>
    <x:col min="4" max="4" width="16" hidden="0" customWidth="1"/>
    <x:col min="5" max="5" width="11" hidden="0" customWidth="1"/>
    <x:col min="6" max="6" width="11" hidden="0" customWidth="1"/>
    <x:col min="7" max="7" width="13" hidden="0" customWidth="1"/>
    <x:col min="8" max="8" width="34" hidden="0" customWidth="1"/>
  </x:cols>
  <x:sheetData>
    <x:row r="1" ht="34" customHeight="1">
      <x:c r="A1" s="58" t="str">
        <x:v>Enterprise AI Asset Hub · 12명 연구회 실행 계획</x:v>
      </x:c>
      <x:c r="B1" s="58" t="str">
        <x:v>Enterprise AI Asset Hub · 12명 연구회 실행 계획</x:v>
      </x:c>
      <x:c r="C1" s="58" t="str">
        <x:v>Enterprise AI Asset Hub · 12명 연구회 실행 계획</x:v>
      </x:c>
      <x:c r="D1" s="58" t="str">
        <x:v>Enterprise AI Asset Hub · 12명 연구회 실행 계획</x:v>
      </x:c>
      <x:c r="E1" s="58" t="str">
        <x:v>Enterprise AI Asset Hub · 12명 연구회 실행 계획</x:v>
      </x:c>
      <x:c r="F1" s="58" t="str">
        <x:v>Enterprise AI Asset Hub · 12명 연구회 실행 계획</x:v>
      </x:c>
      <x:c r="G1" s="58" t="str">
        <x:v>Enterprise AI Asset Hub · 12명 연구회 실행 계획</x:v>
      </x:c>
      <x:c r="H1" s="58" t="str">
        <x:v>Enterprise AI Asset Hub · 12명 연구회 실행 계획</x:v>
      </x:c>
    </x:row>
    <x:row r="2" ht="28" customHeight="1">
      <x:c r="A2" s="59" t="str">
        <x:v>바이브코딩 기반 10주 PoC 권장안 | 회원명·일정·상태는 편집 가능</x:v>
      </x:c>
      <x:c r="B2" s="59" t="str">
        <x:v>바이브코딩 기반 10주 PoC 권장안 | 회원명·일정·상태는 편집 가능</x:v>
      </x:c>
      <x:c r="C2" s="59" t="str">
        <x:v>바이브코딩 기반 10주 PoC 권장안 | 회원명·일정·상태는 편집 가능</x:v>
      </x:c>
      <x:c r="D2" s="59" t="str">
        <x:v>바이브코딩 기반 10주 PoC 권장안 | 회원명·일정·상태는 편집 가능</x:v>
      </x:c>
      <x:c r="E2" s="59" t="str">
        <x:v>바이브코딩 기반 10주 PoC 권장안 | 회원명·일정·상태는 편집 가능</x:v>
      </x:c>
      <x:c r="F2" s="59" t="str">
        <x:v>바이브코딩 기반 10주 PoC 권장안 | 회원명·일정·상태는 편집 가능</x:v>
      </x:c>
      <x:c r="G2" s="59" t="str">
        <x:v>바이브코딩 기반 10주 PoC 권장안 | 회원명·일정·상태는 편집 가능</x:v>
      </x:c>
      <x:c r="H2" s="59" t="str">
        <x:v>바이브코딩 기반 10주 PoC 권장안 | 회원명·일정·상태는 편집 가능</x:v>
      </x:c>
    </x:row>
    <x:row r="3">
      <x:c r="A3" s="60"/>
      <x:c r="B3" s="60"/>
      <x:c r="C3" s="60"/>
      <x:c r="D3" s="60"/>
      <x:c r="E3" s="60"/>
      <x:c r="F3" s="60"/>
      <x:c r="G3" s="60"/>
      <x:c r="H3" s="60"/>
    </x:row>
    <x:row r="4">
      <x:c r="A4" s="61" t="str">
        <x:v>작업 스트림</x:v>
      </x:c>
      <x:c r="B4" s="62" t="str">
        <x:v>작업 스트림</x:v>
      </x:c>
      <x:c r="C4" s="61" t="str">
        <x:v>고급 모듈</x:v>
      </x:c>
      <x:c r="D4" s="62" t="str">
        <x:v>고급 모듈</x:v>
      </x:c>
      <x:c r="E4" s="61" t="str">
        <x:v>전체 기능</x:v>
      </x:c>
      <x:c r="F4" s="62" t="str">
        <x:v>전체 기능</x:v>
      </x:c>
      <x:c r="G4" s="61" t="str">
        <x:v>MVP 기능</x:v>
      </x:c>
      <x:c r="H4" s="62" t="str">
        <x:v>MVP 기능</x:v>
      </x:c>
    </x:row>
    <x:row r="5">
      <x:c r="A5" s="63" t="n">
        <x:f>COUNTA('01_팀배분'!$A$5:$A$16)</x:f>
        <x:v>12</x:v>
      </x:c>
      <x:c r="B5" s="64"/>
      <x:c r="C5" s="63" t="n">
        <x:f>COUNTIF('01_팀배분'!$F$5:$F$16,"고급")</x:f>
        <x:v>6</x:v>
      </x:c>
      <x:c r="D5" s="64"/>
      <x:c r="E5" s="63" t="n">
        <x:f>COUNTA('02_전체기능'!$A$5:$A$220)</x:f>
        <x:v>144</x:v>
      </x:c>
      <x:c r="F5" s="64"/>
      <x:c r="G5" s="63" t="n">
        <x:f>COUNTIF('02_전체기능'!$G$5:$G$220,"MVP")</x:f>
        <x:v>123</x:v>
      </x:c>
      <x:c r="H5" s="64"/>
    </x:row>
    <x:row r="6">
      <x:c r="A6" s="65"/>
      <x:c r="B6" s="66"/>
      <x:c r="C6" s="65"/>
      <x:c r="D6" s="66"/>
      <x:c r="E6" s="65"/>
      <x:c r="F6" s="66"/>
      <x:c r="G6" s="65"/>
      <x:c r="H6" s="66"/>
    </x:row>
    <x:row r="7">
      <x:c r="A7" s="60"/>
      <x:c r="B7" s="60"/>
      <x:c r="C7" s="60"/>
      <x:c r="D7" s="60"/>
      <x:c r="E7" s="60"/>
      <x:c r="F7" s="60"/>
      <x:c r="G7" s="60"/>
      <x:c r="H7" s="60"/>
    </x:row>
    <x:row r="8">
      <x:c r="A8" s="67" t="str">
        <x:v>전체 완료율</x:v>
      </x:c>
      <x:c r="B8" s="67" t="str">
        <x:v>전체 완료율</x:v>
      </x:c>
      <x:c r="C8" s="68" t="n">
        <x:f>IFERROR(COUNTIF('02_전체기능'!$N$5:$N$220,"완료")/COUNTA('02_전체기능'!$A$5:$A$220),0)</x:f>
        <x:v>0</x:v>
      </x:c>
      <x:c r="D8" s="68"/>
      <x:c r="E8" s="68"/>
      <x:c r="F8" s="68"/>
      <x:c r="G8" s="68"/>
      <x:c r="H8" s="68"/>
    </x:row>
    <x:row r="9">
      <x:c r="A9" s="60"/>
      <x:c r="B9" s="60"/>
      <x:c r="C9" s="60"/>
      <x:c r="D9" s="60"/>
      <x:c r="E9" s="60"/>
      <x:c r="F9" s="60"/>
      <x:c r="G9" s="60"/>
      <x:c r="H9" s="60"/>
    </x:row>
    <x:row r="10">
      <x:c r="A10" s="69" t="str">
        <x:v>권장 운영 원칙</x:v>
      </x:c>
      <x:c r="B10" s="69" t="str">
        <x:v>권장 운영 원칙</x:v>
      </x:c>
      <x:c r="C10" s="69" t="str">
        <x:v>권장 운영 원칙</x:v>
      </x:c>
      <x:c r="D10" s="69" t="str">
        <x:v>권장 운영 원칙</x:v>
      </x:c>
      <x:c r="E10" s="69" t="str">
        <x:v>권장 운영 원칙</x:v>
      </x:c>
      <x:c r="F10" s="69" t="str">
        <x:v>권장 운영 원칙</x:v>
      </x:c>
      <x:c r="G10" s="69" t="str">
        <x:v>권장 운영 원칙</x:v>
      </x:c>
      <x:c r="H10" s="69" t="str">
        <x:v>권장 운영 원칙</x:v>
      </x:c>
    </x:row>
    <x:row r="11">
      <x:c r="A11" s="21" t="str">
        <x:v>1</x:v>
      </x:c>
      <x:c r="B11" s="21" t="str">
        <x:v>한 명이 한 모듈의 최종 책임자</x:v>
      </x:c>
      <x:c r="C11" s="21"/>
      <x:c r="D11" s="21" t="str">
        <x:v>책임 경계를 명확히 하고 공통 파일 동시 수정 방지</x:v>
      </x:c>
      <x:c r="E11" s="21"/>
      <x:c r="F11" s="21"/>
      <x:c r="G11" s="21"/>
      <x:c r="H11" s="21"/>
    </x:row>
    <x:row r="12">
      <x:c r="A12" s="22" t="str">
        <x:v>2</x:v>
      </x:c>
      <x:c r="B12" s="22" t="str">
        <x:v>계약 우선 개발</x:v>
      </x:c>
      <x:c r="C12" s="22"/>
      <x:c r="D12" s="22" t="str">
        <x:v>OpenAPI·Manifest·JSON Schema를 코드보다 먼저 확정</x:v>
      </x:c>
      <x:c r="E12" s="22"/>
      <x:c r="F12" s="22"/>
      <x:c r="G12" s="22"/>
      <x:c r="H12" s="22"/>
    </x:row>
    <x:row r="13">
      <x:c r="A13" s="22" t="str">
        <x:v>3</x:v>
      </x:c>
      <x:c r="B13" s="22" t="str">
        <x:v>주 담당+교차 검토</x:v>
      </x:c>
      <x:c r="C13" s="22"/>
      <x:c r="D13" s="22" t="str">
        <x:v>AI 생성 코드의 환각·보안·예외 누락을 다른 회원이 검증</x:v>
      </x:c>
      <x:c r="E13" s="22"/>
      <x:c r="F13" s="22"/>
      <x:c r="G13" s="22"/>
      <x:c r="H13" s="22"/>
    </x:row>
    <x:row r="14">
      <x:c r="A14" s="22" t="str">
        <x:v>4</x:v>
      </x:c>
      <x:c r="B14" s="22" t="str">
        <x:v>매주 통합</x:v>
      </x:c>
      <x:c r="C14" s="22"/>
      <x:c r="D14" s="22" t="str">
        <x:v>마지막 주에 몰아서 통합하지 않고 대표 E2E를 반복 실행</x:v>
      </x:c>
      <x:c r="E14" s="22"/>
      <x:c r="F14" s="22"/>
      <x:c r="G14" s="22"/>
      <x:c r="H14" s="22"/>
    </x:row>
    <x:row r="15">
      <x:c r="A15" s="23" t="str">
        <x:v>5</x:v>
      </x:c>
      <x:c r="B15" s="23" t="str">
        <x:v>테스트 증거 기반 완료</x:v>
      </x:c>
      <x:c r="C15" s="23"/>
      <x:c r="D15" s="23" t="str">
        <x:v>코드 생성 완료가 아니라 테스트·문서·인수 기준 충족을 완료로 판단</x:v>
      </x:c>
      <x:c r="E15" s="23"/>
      <x:c r="F15" s="23"/>
      <x:c r="G15" s="23"/>
      <x:c r="H15" s="23"/>
    </x:row>
    <x:row r="16">
      <x:c r="A16" s="60"/>
      <x:c r="B16" s="60"/>
      <x:c r="C16" s="60"/>
      <x:c r="D16" s="60"/>
      <x:c r="E16" s="60"/>
      <x:c r="F16" s="60"/>
      <x:c r="G16" s="60"/>
      <x:c r="H16" s="60"/>
    </x:row>
    <x:row r="17">
      <x:c r="A17" s="69" t="str">
        <x:v>12개 작업 스트림 요약</x:v>
      </x:c>
      <x:c r="B17" s="69" t="str">
        <x:v>12개 작업 스트림 요약</x:v>
      </x:c>
      <x:c r="C17" s="69" t="str">
        <x:v>12개 작업 스트림 요약</x:v>
      </x:c>
      <x:c r="D17" s="69" t="str">
        <x:v>12개 작업 스트림 요약</x:v>
      </x:c>
      <x:c r="E17" s="69" t="str">
        <x:v>12개 작업 스트림 요약</x:v>
      </x:c>
      <x:c r="F17" s="69" t="str">
        <x:v>12개 작업 스트림 요약</x:v>
      </x:c>
      <x:c r="G17" s="69" t="str">
        <x:v>12개 작업 스트림 요약</x:v>
      </x:c>
      <x:c r="H17" s="69" t="str">
        <x:v>12개 작업 스트림 요약</x:v>
      </x:c>
    </x:row>
    <x:row r="18" ht="32" customHeight="1">
      <x:c r="A18" s="70" t="str">
        <x:v>모듈</x:v>
      </x:c>
      <x:c r="B18" s="70" t="str">
        <x:v>담당</x:v>
      </x:c>
      <x:c r="C18" s="70" t="str">
        <x:v>작업 스트림</x:v>
      </x:c>
      <x:c r="D18" s="70" t="str">
        <x:v>난이도</x:v>
      </x:c>
      <x:c r="E18" s="70" t="str">
        <x:v>기능 수</x:v>
      </x:c>
      <x:c r="F18" s="70" t="str">
        <x:v>MVP</x:v>
      </x:c>
      <x:c r="G18" s="70" t="str">
        <x:v>검토자</x:v>
      </x:c>
      <x:c r="H18" s="70" t="str">
        <x:v>핵심 산출물</x:v>
      </x:c>
    </x:row>
    <x:row r="19">
      <x:c r="A19" s="21" t="str">
        <x:v>M01</x:v>
      </x:c>
      <x:c r="B19" s="21" t="str">
        <x:v>회원 01</x:v>
      </x:c>
      <x:c r="C19" s="21" t="str">
        <x:v>Portal UI &amp; Catalog</x:v>
      </x:c>
      <x:c r="D19" s="21" t="str">
        <x:v>중급</x:v>
      </x:c>
      <x:c r="E19" s="21" t="n">
        <x:f>COUNTIF('02_전체기능'!$I$5:$I$220,A19)</x:f>
        <x:v>12</x:v>
      </x:c>
      <x:c r="F19" s="21" t="n">
        <x:f>COUNTIFS('02_전체기능'!$I$5:$I$220,A19,'02_전체기능'!$G$5:$G$220,"MVP")</x:f>
        <x:v>10</x:v>
      </x:c>
      <x:c r="G19" s="21" t="str">
        <x:v>회원 02</x:v>
      </x:c>
      <x:c r="H19" s="21" t="str">
        <x:v>포털 화면, UI 컴포넌트, API 연동</x:v>
      </x:c>
    </x:row>
    <x:row r="20">
      <x:c r="A20" s="22" t="str">
        <x:v>M02</x:v>
      </x:c>
      <x:c r="B20" s="22" t="str">
        <x:v>회원 02</x:v>
      </x:c>
      <x:c r="C20" s="22" t="str">
        <x:v>Portal API &amp; Asset Registry</x:v>
      </x:c>
      <x:c r="D20" s="22" t="str">
        <x:v>고급</x:v>
      </x:c>
      <x:c r="E20" s="22" t="n">
        <x:f>COUNTIF('02_전체기능'!$I$5:$I$220,A20)</x:f>
        <x:v>12</x:v>
      </x:c>
      <x:c r="F20" s="22" t="n">
        <x:f>COUNTIFS('02_전체기능'!$I$5:$I$220,A20,'02_전체기능'!$G$5:$G$220,"MVP")</x:f>
        <x:v>11</x:v>
      </x:c>
      <x:c r="G20" s="22" t="str">
        <x:v>회원 05</x:v>
      </x:c>
      <x:c r="H20" s="22" t="str">
        <x:v>REST API, DB Schema, OpenAPI</x:v>
      </x:c>
    </x:row>
    <x:row r="21">
      <x:c r="A21" s="22" t="str">
        <x:v>M03</x:v>
      </x:c>
      <x:c r="B21" s="22" t="str">
        <x:v>회원 03</x:v>
      </x:c>
      <x:c r="C21" s="22" t="str">
        <x:v>Distribution &amp; Offline Bundle</x:v>
      </x:c>
      <x:c r="D21" s="22" t="str">
        <x:v>중급</x:v>
      </x:c>
      <x:c r="E21" s="22" t="n">
        <x:f>COUNTIF('02_전체기능'!$I$5:$I$220,A21)</x:f>
        <x:v>12</x:v>
      </x:c>
      <x:c r="F21" s="22" t="n">
        <x:f>COUNTIFS('02_전체기능'!$I$5:$I$220,A21,'02_전체기능'!$G$5:$G$220,"MVP")</x:f>
        <x:v>9</x:v>
      </x:c>
      <x:c r="G21" s="22" t="str">
        <x:v>회원 11</x:v>
      </x:c>
      <x:c r="H21" s="22" t="str">
        <x:v>Bundle Builder, Manifest, Import 검증</x:v>
      </x:c>
    </x:row>
    <x:row r="22">
      <x:c r="A22" s="22" t="str">
        <x:v>M04</x:v>
      </x:c>
      <x:c r="B22" s="22" t="str">
        <x:v>회원 04</x:v>
      </x:c>
      <x:c r="C22" s="22" t="str">
        <x:v>Desktop Client UI &amp; Installer</x:v>
      </x:c>
      <x:c r="D22" s="22" t="str">
        <x:v>중급</x:v>
      </x:c>
      <x:c r="E22" s="22" t="n">
        <x:f>COUNTIF('02_전체기능'!$I$5:$I$220,A22)</x:f>
        <x:v>12</x:v>
      </x:c>
      <x:c r="F22" s="22" t="n">
        <x:f>COUNTIFS('02_전체기능'!$I$5:$I$220,A22,'02_전체기능'!$G$5:$G$220,"MVP")</x:f>
        <x:v>11</x:v>
      </x:c>
      <x:c r="G22" s="22" t="str">
        <x:v>회원 05</x:v>
      </x:c>
      <x:c r="H22" s="22" t="str">
        <x:v>Desktop App, Installer, 상태 화면</x:v>
      </x:c>
    </x:row>
    <x:row r="23">
      <x:c r="A23" s="22" t="str">
        <x:v>M05</x:v>
      </x:c>
      <x:c r="B23" s="22" t="str">
        <x:v>회원 05</x:v>
      </x:c>
      <x:c r="C23" s="22" t="str">
        <x:v>Agent Runtime &amp; LLM Adapter</x:v>
      </x:c>
      <x:c r="D23" s="22" t="str">
        <x:v>고급</x:v>
      </x:c>
      <x:c r="E23" s="22" t="n">
        <x:f>COUNTIF('02_전체기능'!$I$5:$I$220,A23)</x:f>
        <x:v>12</x:v>
      </x:c>
      <x:c r="F23" s="22" t="n">
        <x:f>COUNTIFS('02_전체기능'!$I$5:$I$220,A23,'02_전체기능'!$G$5:$G$220,"MVP")</x:f>
        <x:v>11</x:v>
      </x:c>
      <x:c r="G23" s="22" t="str">
        <x:v>회원 02</x:v>
      </x:c>
      <x:c r="H23" s="22" t="str">
        <x:v>Runtime Core, Ollama Adapter, 실행 API</x:v>
      </x:c>
    </x:row>
    <x:row r="24">
      <x:c r="A24" s="22" t="str">
        <x:v>M06</x:v>
      </x:c>
      <x:c r="B24" s="22" t="str">
        <x:v>회원 06</x:v>
      </x:c>
      <x:c r="C24" s="22" t="str">
        <x:v>Package Spec &amp; Office Profiles</x:v>
      </x:c>
      <x:c r="D24" s="22" t="str">
        <x:v>초중급</x:v>
      </x:c>
      <x:c r="E24" s="22" t="n">
        <x:f>COUNTIF('02_전체기능'!$I$5:$I$220,A24)</x:f>
        <x:v>12</x:v>
      </x:c>
      <x:c r="F24" s="22" t="n">
        <x:f>COUNTIFS('02_전체기능'!$I$5:$I$220,A24,'02_전체기능'!$G$5:$G$220,"MVP")</x:f>
        <x:v>11</x:v>
      </x:c>
      <x:c r="G24" s="22" t="str">
        <x:v>회원 05</x:v>
      </x:c>
      <x:c r="H24" s="22" t="str">
        <x:v>JSON Schema, YAML Template, Validator</x:v>
      </x:c>
    </x:row>
    <x:row r="25">
      <x:c r="A25" s="22" t="str">
        <x:v>M07</x:v>
      </x:c>
      <x:c r="B25" s="22" t="str">
        <x:v>회원 07</x:v>
      </x:c>
      <x:c r="C25" s="22" t="str">
        <x:v>RAG Indexing Runtime</x:v>
      </x:c>
      <x:c r="D25" s="22" t="str">
        <x:v>고급</x:v>
      </x:c>
      <x:c r="E25" s="22" t="n">
        <x:f>COUNTIF('02_전체기능'!$I$5:$I$220,A25)</x:f>
        <x:v>12</x:v>
      </x:c>
      <x:c r="F25" s="22" t="n">
        <x:f>COUNTIFS('02_전체기능'!$I$5:$I$220,A25,'02_전체기능'!$G$5:$G$220,"MVP")</x:f>
        <x:v>11</x:v>
      </x:c>
      <x:c r="G25" s="22" t="str">
        <x:v>회원 08</x:v>
      </x:c>
      <x:c r="H25" s="22" t="str">
        <x:v>Indexing CLI/Service, Chroma Index</x:v>
      </x:c>
    </x:row>
    <x:row r="26">
      <x:c r="A26" s="22" t="str">
        <x:v>M08</x:v>
      </x:c>
      <x:c r="B26" s="22" t="str">
        <x:v>회원 08</x:v>
      </x:c>
      <x:c r="C26" s="22" t="str">
        <x:v>RAG Search Runtime</x:v>
      </x:c>
      <x:c r="D26" s="22" t="str">
        <x:v>고급</x:v>
      </x:c>
      <x:c r="E26" s="22" t="n">
        <x:f>COUNTIF('02_전체기능'!$I$5:$I$220,A26)</x:f>
        <x:v>12</x:v>
      </x:c>
      <x:c r="F26" s="22" t="n">
        <x:f>COUNTIFS('02_전체기능'!$I$5:$I$220,A26,'02_전체기능'!$G$5:$G$220,"MVP")</x:f>
        <x:v>10</x:v>
      </x:c>
      <x:c r="G26" s="22" t="str">
        <x:v>회원 07</x:v>
      </x:c>
      <x:c r="H26" s="22" t="str">
        <x:v>Search Runtime, Retrieval API</x:v>
      </x:c>
    </x:row>
    <x:row r="27">
      <x:c r="A27" s="22" t="str">
        <x:v>M09</x:v>
      </x:c>
      <x:c r="B27" s="22" t="str">
        <x:v>회원 09</x:v>
      </x:c>
      <x:c r="C27" s="22" t="str">
        <x:v>RAG Package &amp; Evaluation</x:v>
      </x:c>
      <x:c r="D27" s="22" t="str">
        <x:v>중급</x:v>
      </x:c>
      <x:c r="E27" s="22" t="n">
        <x:f>COUNTIF('02_전체기능'!$I$5:$I$220,A27)</x:f>
        <x:v>12</x:v>
      </x:c>
      <x:c r="F27" s="22" t="n">
        <x:f>COUNTIFS('02_전체기능'!$I$5:$I$220,A27,'02_전체기능'!$G$5:$G$220,"MVP")</x:f>
        <x:v>10</x:v>
      </x:c>
      <x:c r="G27" s="22" t="str">
        <x:v>회원 08</x:v>
      </x:c>
      <x:c r="H27" s="22" t="str">
        <x:v>RAG ZIP, Evaluation Runner, Data Card</x:v>
      </x:c>
    </x:row>
    <x:row r="28">
      <x:c r="A28" s="22" t="str">
        <x:v>M10</x:v>
      </x:c>
      <x:c r="B28" s="22" t="str">
        <x:v>회원 10</x:v>
      </x:c>
      <x:c r="C28" s="22" t="str">
        <x:v>Office MCP Server &amp; Connectors</x:v>
      </x:c>
      <x:c r="D28" s="22" t="str">
        <x:v>고급</x:v>
      </x:c>
      <x:c r="E28" s="22" t="n">
        <x:f>COUNTIF('02_전체기능'!$I$5:$I$220,A28)</x:f>
        <x:v>12</x:v>
      </x:c>
      <x:c r="F28" s="22" t="n">
        <x:f>COUNTIFS('02_전체기능'!$I$5:$I$220,A28,'02_전체기능'!$G$5:$G$220,"MVP")</x:f>
        <x:v>10</x:v>
      </x:c>
      <x:c r="G28" s="22" t="str">
        <x:v>회원 11</x:v>
      </x:c>
      <x:c r="H28" s="22" t="str">
        <x:v>MCP Server, DB Tools, Health API</x:v>
      </x:c>
    </x:row>
    <x:row r="29">
      <x:c r="A29" s="22" t="str">
        <x:v>M11</x:v>
      </x:c>
      <x:c r="B29" s="22" t="str">
        <x:v>회원 11</x:v>
      </x:c>
      <x:c r="C29" s="22" t="str">
        <x:v>Security, Governance &amp; Audit</x:v>
      </x:c>
      <x:c r="D29" s="22" t="str">
        <x:v>고급</x:v>
      </x:c>
      <x:c r="E29" s="22" t="n">
        <x:f>COUNTIF('02_전체기능'!$I$5:$I$220,A29)</x:f>
        <x:v>12</x:v>
      </x:c>
      <x:c r="F29" s="22" t="n">
        <x:f>COUNTIFS('02_전체기능'!$I$5:$I$220,A29,'02_전체기능'!$G$5:$G$220,"MVP")</x:f>
        <x:v>7</x:v>
      </x:c>
      <x:c r="G29" s="22" t="str">
        <x:v>회원 02</x:v>
      </x:c>
      <x:c r="H29" s="22" t="str">
        <x:v>Security Policy, Audit Schema, 검증 Hook</x:v>
      </x:c>
    </x:row>
    <x:row r="30">
      <x:c r="A30" s="23" t="str">
        <x:v>M12</x:v>
      </x:c>
      <x:c r="B30" s="23" t="str">
        <x:v>회원 12</x:v>
      </x:c>
      <x:c r="C30" s="23" t="str">
        <x:v>QA, Integration &amp; Documentation</x:v>
      </x:c>
      <x:c r="D30" s="23" t="str">
        <x:v>초중급</x:v>
      </x:c>
      <x:c r="E30" s="23" t="n">
        <x:f>COUNTIF('02_전체기능'!$I$5:$I$220,A30)</x:f>
        <x:v>12</x:v>
      </x:c>
      <x:c r="F30" s="23" t="n">
        <x:f>COUNTIFS('02_전체기능'!$I$5:$I$220,A30,'02_전체기능'!$G$5:$G$220,"MVP")</x:f>
        <x:v>12</x:v>
      </x:c>
      <x:c r="G30" s="23" t="str">
        <x:v>회원 05</x:v>
      </x:c>
      <x:c r="H30" s="23" t="str">
        <x:v>Test Suite, CI, 통합 가이드, 데모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B8"/>
    <x:mergeCell ref="C8:H8"/>
    <x:mergeCell ref="A10:H10"/>
    <x:mergeCell ref="B11:C11"/>
    <x:mergeCell ref="B12:C12"/>
    <x:mergeCell ref="B13:C13"/>
    <x:mergeCell ref="B14:C14"/>
    <x:mergeCell ref="B15:C15"/>
    <x:mergeCell ref="D11:H11"/>
    <x:mergeCell ref="D12:H12"/>
    <x:mergeCell ref="D13:H13"/>
    <x:mergeCell ref="D14:H14"/>
    <x:mergeCell ref="D15:H15"/>
    <x:mergeCell ref="A17:H17"/>
  </x:mergeCells>
  <x:conditionalFormatting sqref="D19:D30">
    <x:cfRule type="containsText" dxfId="15" priority="1" operator="containsText" text="고급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4" hidden="0" customWidth="1"/>
    <x:col min="4" max="4" width="28" hidden="0" customWidth="1"/>
    <x:col min="5" max="5" width="15" hidden="0" customWidth="1"/>
    <x:col min="6" max="6" width="10" hidden="0" customWidth="1"/>
    <x:col min="7" max="7" width="18" hidden="0" customWidth="1"/>
    <x:col min="8" max="8" width="32" hidden="0" customWidth="1"/>
    <x:col min="9" max="9" width="34" hidden="0" customWidth="1"/>
    <x:col min="10" max="10" width="28" hidden="0" customWidth="1"/>
    <x:col min="11" max="11" width="18" hidden="0" customWidth="1"/>
    <x:col min="12" max="12" width="11" hidden="0" customWidth="1"/>
    <x:col min="13" max="13" width="18" hidden="0" customWidth="1"/>
    <x:col min="14" max="14" width="12" hidden="0" customWidth="1"/>
    <x:col min="15" max="15" width="10" hidden="0" customWidth="1"/>
    <x:col min="16" max="16" width="10" hidden="0" customWidth="1"/>
    <x:col min="17" max="17" width="11" hidden="0" customWidth="1"/>
  </x:cols>
  <x:sheetData>
    <x:row r="1" ht="34" customHeight="1">
      <x:c r="A1" s="58" t="str">
        <x:v>12명 연구회 · 모듈별 역할 배분</x:v>
      </x:c>
      <x:c r="B1" s="58" t="str">
        <x:v>12명 연구회 · 모듈별 역할 배분</x:v>
      </x:c>
      <x:c r="C1" s="58" t="str">
        <x:v>12명 연구회 · 모듈별 역할 배분</x:v>
      </x:c>
      <x:c r="D1" s="58" t="str">
        <x:v>12명 연구회 · 모듈별 역할 배분</x:v>
      </x:c>
      <x:c r="E1" s="58" t="str">
        <x:v>12명 연구회 · 모듈별 역할 배분</x:v>
      </x:c>
      <x:c r="F1" s="58" t="str">
        <x:v>12명 연구회 · 모듈별 역할 배분</x:v>
      </x:c>
      <x:c r="G1" s="58" t="str">
        <x:v>12명 연구회 · 모듈별 역할 배분</x:v>
      </x:c>
      <x:c r="H1" s="58" t="str">
        <x:v>12명 연구회 · 모듈별 역할 배분</x:v>
      </x:c>
      <x:c r="I1" s="58" t="str">
        <x:v>12명 연구회 · 모듈별 역할 배분</x:v>
      </x:c>
      <x:c r="J1" s="58" t="str">
        <x:v>12명 연구회 · 모듈별 역할 배분</x:v>
      </x:c>
      <x:c r="K1" s="58" t="str">
        <x:v>12명 연구회 · 모듈별 역할 배분</x:v>
      </x:c>
      <x:c r="L1" s="58" t="str">
        <x:v>12명 연구회 · 모듈별 역할 배분</x:v>
      </x:c>
      <x:c r="M1" s="58" t="str">
        <x:v>12명 연구회 · 모듈별 역할 배분</x:v>
      </x:c>
      <x:c r="N1" s="58" t="str">
        <x:v>12명 연구회 · 모듈별 역할 배분</x:v>
      </x:c>
      <x:c r="O1" s="58" t="str">
        <x:v>12명 연구회 · 모듈별 역할 배분</x:v>
      </x:c>
      <x:c r="P1" s="58" t="str">
        <x:v>12명 연구회 · 모듈별 역할 배분</x:v>
      </x:c>
      <x:c r="Q1" s="58" t="str">
        <x:v>12명 연구회 · 모듈별 역할 배분</x:v>
      </x:c>
    </x:row>
    <x:row r="2" ht="28" customHeight="1">
      <x:c r="A2" s="59" t="str">
        <x:v>가정: 회원명과 실제 숙련도는 미확정 | 회원 01~12는 자리표시자이며 권장 수준에 맞게 교체</x:v>
      </x:c>
      <x:c r="B2" s="59" t="str">
        <x:v>가정: 회원명과 실제 숙련도는 미확정 | 회원 01~12는 자리표시자이며 권장 수준에 맞게 교체</x:v>
      </x:c>
      <x:c r="C2" s="59" t="str">
        <x:v>가정: 회원명과 실제 숙련도는 미확정 | 회원 01~12는 자리표시자이며 권장 수준에 맞게 교체</x:v>
      </x:c>
      <x:c r="D2" s="59" t="str">
        <x:v>가정: 회원명과 실제 숙련도는 미확정 | 회원 01~12는 자리표시자이며 권장 수준에 맞게 교체</x:v>
      </x:c>
      <x:c r="E2" s="59" t="str">
        <x:v>가정: 회원명과 실제 숙련도는 미확정 | 회원 01~12는 자리표시자이며 권장 수준에 맞게 교체</x:v>
      </x:c>
      <x:c r="F2" s="59" t="str">
        <x:v>가정: 회원명과 실제 숙련도는 미확정 | 회원 01~12는 자리표시자이며 권장 수준에 맞게 교체</x:v>
      </x:c>
      <x:c r="G2" s="59" t="str">
        <x:v>가정: 회원명과 실제 숙련도는 미확정 | 회원 01~12는 자리표시자이며 권장 수준에 맞게 교체</x:v>
      </x:c>
      <x:c r="H2" s="59" t="str">
        <x:v>가정: 회원명과 실제 숙련도는 미확정 | 회원 01~12는 자리표시자이며 권장 수준에 맞게 교체</x:v>
      </x:c>
      <x:c r="I2" s="59" t="str">
        <x:v>가정: 회원명과 실제 숙련도는 미확정 | 회원 01~12는 자리표시자이며 권장 수준에 맞게 교체</x:v>
      </x:c>
      <x:c r="J2" s="59" t="str">
        <x:v>가정: 회원명과 실제 숙련도는 미확정 | 회원 01~12는 자리표시자이며 권장 수준에 맞게 교체</x:v>
      </x:c>
      <x:c r="K2" s="59" t="str">
        <x:v>가정: 회원명과 실제 숙련도는 미확정 | 회원 01~12는 자리표시자이며 권장 수준에 맞게 교체</x:v>
      </x:c>
      <x:c r="L2" s="59" t="str">
        <x:v>가정: 회원명과 실제 숙련도는 미확정 | 회원 01~12는 자리표시자이며 권장 수준에 맞게 교체</x:v>
      </x:c>
      <x:c r="M2" s="59" t="str">
        <x:v>가정: 회원명과 실제 숙련도는 미확정 | 회원 01~12는 자리표시자이며 권장 수준에 맞게 교체</x:v>
      </x:c>
      <x:c r="N2" s="59" t="str">
        <x:v>가정: 회원명과 실제 숙련도는 미확정 | 회원 01~12는 자리표시자이며 권장 수준에 맞게 교체</x:v>
      </x:c>
      <x:c r="O2" s="59" t="str">
        <x:v>가정: 회원명과 실제 숙련도는 미확정 | 회원 01~12는 자리표시자이며 권장 수준에 맞게 교체</x:v>
      </x:c>
      <x:c r="P2" s="59" t="str">
        <x:v>가정: 회원명과 실제 숙련도는 미확정 | 회원 01~12는 자리표시자이며 권장 수준에 맞게 교체</x:v>
      </x:c>
      <x:c r="Q2" s="59" t="str">
        <x:v>가정: 회원명과 실제 숙련도는 미확정 | 회원 01~12는 자리표시자이며 권장 수준에 맞게 교체</x:v>
      </x:c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</x:row>
    <x:row r="4" ht="32" customHeight="1">
      <x:c r="A4" s="70" t="str">
        <x:v>모듈 ID</x:v>
      </x:c>
      <x:c r="B4" s="70" t="str">
        <x:v>주 담당</x:v>
      </x:c>
      <x:c r="C4" s="70" t="str">
        <x:v>권장 역할</x:v>
      </x:c>
      <x:c r="D4" s="70" t="str">
        <x:v>작업 스트림</x:v>
      </x:c>
      <x:c r="E4" s="70" t="str">
        <x:v>영역</x:v>
      </x:c>
      <x:c r="F4" s="70" t="str">
        <x:v>난이도</x:v>
      </x:c>
      <x:c r="G4" s="70" t="str">
        <x:v>권장 수준</x:v>
      </x:c>
      <x:c r="H4" s="70" t="str">
        <x:v>핵심 책임</x:v>
      </x:c>
      <x:c r="I4" s="70" t="str">
        <x:v>사용 예시</x:v>
      </x:c>
      <x:c r="J4" s="70" t="str">
        <x:v>주요 산출물</x:v>
      </x:c>
      <x:c r="K4" s="70" t="str">
        <x:v>선행 모듈</x:v>
      </x:c>
      <x:c r="L4" s="70" t="str">
        <x:v>교차 검토</x:v>
      </x:c>
      <x:c r="M4" s="70" t="str">
        <x:v>통합 파트너</x:v>
      </x:c>
      <x:c r="N4" s="70" t="str">
        <x:v>권장 기간</x:v>
      </x:c>
      <x:c r="O4" s="70" t="str">
        <x:v>기능 수</x:v>
      </x:c>
      <x:c r="P4" s="70" t="str">
        <x:v>MVP 기능</x:v>
      </x:c>
      <x:c r="Q4" s="70" t="str">
        <x:v>완료율</x:v>
      </x:c>
    </x:row>
    <x:row r="5">
      <x:c r="A5" s="24" t="str">
        <x:v>M01</x:v>
      </x:c>
      <x:c r="B5" s="21" t="str">
        <x:v>회원 01</x:v>
      </x:c>
      <x:c r="C5" s="21" t="str">
        <x:v>포털 프론트엔드 담당</x:v>
      </x:c>
      <x:c r="D5" s="21" t="str">
        <x:v>Portal UI &amp; Catalog</x:v>
      </x:c>
      <x:c r="E5" s="21" t="str">
        <x:v>중앙 플랫폼</x:v>
      </x:c>
      <x:c r="F5" s="21" t="str">
        <x:v>중급</x:v>
      </x:c>
      <x:c r="G5" s="21" t="str">
        <x:v>프론트엔드 중급</x:v>
      </x:c>
      <x:c r="H5" s="21" t="str">
        <x:v>자산 목록·검색·상세·등록·승인 화면</x:v>
      </x:c>
      <x:c r="I5" s="21" t="str">
        <x:v>사용자가 Nexacro Agent를 검색하고 의존 RAG·MCP를 확인</x:v>
      </x:c>
      <x:c r="J5" s="21" t="str">
        <x:v>포털 화면, UI 컴포넌트, API 연동</x:v>
      </x:c>
      <x:c r="K5" s="21" t="str">
        <x:v>M02, M06</x:v>
      </x:c>
      <x:c r="L5" s="21" t="str">
        <x:v>회원 02</x:v>
      </x:c>
      <x:c r="M5" s="21" t="str">
        <x:v>M02·M03</x:v>
      </x:c>
      <x:c r="N5" s="21" t="str">
        <x:v>W2~W8</x:v>
      </x:c>
      <x:c r="O5" s="21" t="n">
        <x:f>COUNTIF('02_전체기능'!$I$5:$I$220,A5)</x:f>
        <x:v>12</x:v>
      </x:c>
      <x:c r="P5" s="21" t="n">
        <x:f>COUNTIFS('02_전체기능'!$I$5:$I$220,A5,'02_전체기능'!$G$5:$G$220,"MVP")</x:f>
        <x:v>10</x:v>
      </x:c>
      <x:c r="Q5" s="27" t="n">
        <x:f>IFERROR(COUNTIFS('02_전체기능'!$I$5:$I$220,A5,'02_전체기능'!$N$5:$N$220,"완료")/O5,0)</x:f>
        <x:v>0</x:v>
      </x:c>
    </x:row>
    <x:row r="6">
      <x:c r="A6" s="25" t="str">
        <x:v>M02</x:v>
      </x:c>
      <x:c r="B6" s="22" t="str">
        <x:v>회원 02</x:v>
      </x:c>
      <x:c r="C6" s="22" t="str">
        <x:v>포털 백엔드·레지스트리 담당</x:v>
      </x:c>
      <x:c r="D6" s="22" t="str">
        <x:v>Portal API &amp; Asset Registry</x:v>
      </x:c>
      <x:c r="E6" s="22" t="str">
        <x:v>중앙 플랫폼</x:v>
      </x:c>
      <x:c r="F6" s="22" t="str">
        <x:v>고급</x:v>
      </x:c>
      <x:c r="G6" s="22" t="str">
        <x:v>백엔드 고급</x:v>
      </x:c>
      <x:c r="H6" s="22" t="str">
        <x:v>자산 메타데이터·버전·의존성·검색 API</x:v>
      </x:c>
      <x:c r="I6" s="22" t="str">
        <x:v>Agent 1.2가 RAG 1.0 이상을 요구한다는 관계 저장</x:v>
      </x:c>
      <x:c r="J6" s="22" t="str">
        <x:v>REST API, DB Schema, OpenAPI</x:v>
      </x:c>
      <x:c r="K6" s="22" t="str">
        <x:v>M06, M11</x:v>
      </x:c>
      <x:c r="L6" s="22" t="str">
        <x:v>회원 05</x:v>
      </x:c>
      <x:c r="M6" s="22" t="str">
        <x:v>M01·M03·M11</x:v>
      </x:c>
      <x:c r="N6" s="22" t="str">
        <x:v>W1~W8</x:v>
      </x:c>
      <x:c r="O6" s="22" t="n">
        <x:f>COUNTIF('02_전체기능'!$I$5:$I$220,A6)</x:f>
        <x:v>12</x:v>
      </x:c>
      <x:c r="P6" s="22" t="n">
        <x:f>COUNTIFS('02_전체기능'!$I$5:$I$220,A6,'02_전체기능'!$G$5:$G$220,"MVP")</x:f>
        <x:v>11</x:v>
      </x:c>
      <x:c r="Q6" s="28" t="n">
        <x:f>IFERROR(COUNTIFS('02_전체기능'!$I$5:$I$220,A6,'02_전체기능'!$N$5:$N$220,"완료")/O6,0)</x:f>
        <x:v>0</x:v>
      </x:c>
    </x:row>
    <x:row r="7">
      <x:c r="A7" s="25" t="str">
        <x:v>M03</x:v>
      </x:c>
      <x:c r="B7" s="22" t="str">
        <x:v>회원 03</x:v>
      </x:c>
      <x:c r="C7" s="22" t="str">
        <x:v>배포·오프라인 번들 담당</x:v>
      </x:c>
      <x:c r="D7" s="22" t="str">
        <x:v>Distribution &amp; Offline Bundle</x:v>
      </x:c>
      <x:c r="E7" s="22" t="str">
        <x:v>배포 플랫폼</x:v>
      </x:c>
      <x:c r="F7" s="22" t="str">
        <x:v>중급</x:v>
      </x:c>
      <x:c r="G7" s="22" t="str">
        <x:v>백엔드 중급</x:v>
      </x:c>
      <x:c r="H7" s="22" t="str">
        <x:v>파일 저장·다운로드·의존성 번들·반입 패키지</x:v>
      </x:c>
      <x:c r="I7" s="22" t="str">
        <x:v>Agent·RAG·Prompt를 하나의 폐쇄망 반입 ZIP으로 생성</x:v>
      </x:c>
      <x:c r="J7" s="22" t="str">
        <x:v>Bundle Builder, Manifest, Import 검증</x:v>
      </x:c>
      <x:c r="K7" s="22" t="str">
        <x:v>M02, M06, M11</x:v>
      </x:c>
      <x:c r="L7" s="22" t="str">
        <x:v>회원 11</x:v>
      </x:c>
      <x:c r="M7" s="22" t="str">
        <x:v>M02·M04</x:v>
      </x:c>
      <x:c r="N7" s="22" t="str">
        <x:v>W3~W8</x:v>
      </x:c>
      <x:c r="O7" s="22" t="n">
        <x:f>COUNTIF('02_전체기능'!$I$5:$I$220,A7)</x:f>
        <x:v>12</x:v>
      </x:c>
      <x:c r="P7" s="22" t="n">
        <x:f>COUNTIFS('02_전체기능'!$I$5:$I$220,A7,'02_전체기능'!$G$5:$G$220,"MVP")</x:f>
        <x:v>9</x:v>
      </x:c>
      <x:c r="Q7" s="28" t="n">
        <x:f>IFERROR(COUNTIFS('02_전체기능'!$I$5:$I$220,A7,'02_전체기능'!$N$5:$N$220,"완료")/O7,0)</x:f>
        <x:v>0</x:v>
      </x:c>
    </x:row>
    <x:row r="8">
      <x:c r="A8" s="25" t="str">
        <x:v>M04</x:v>
      </x:c>
      <x:c r="B8" s="22" t="str">
        <x:v>회원 04</x:v>
      </x:c>
      <x:c r="C8" s="22" t="str">
        <x:v>데스크톱 클라이언트 담당</x:v>
      </x:c>
      <x:c r="D8" s="22" t="str">
        <x:v>Desktop Client UI &amp; Installer</x:v>
      </x:c>
      <x:c r="E8" s="22" t="str">
        <x:v>사용자 실행</x:v>
      </x:c>
      <x:c r="F8" s="22" t="str">
        <x:v>중급</x:v>
      </x:c>
      <x:c r="G8" s="22" t="str">
        <x:v>Python/PySide 중급</x:v>
      </x:c>
      <x:c r="H8" s="22" t="str">
        <x:v>Agent 설치·선택·채팅·상태·로그 UI</x:v>
      </x:c>
      <x:c r="I8" s="22" t="str">
        <x:v>폐쇄망 PC에서 Agent ZIP을 가져와 Ollama로 실행</x:v>
      </x:c>
      <x:c r="J8" s="22" t="str">
        <x:v>Desktop App, Installer, 상태 화면</x:v>
      </x:c>
      <x:c r="K8" s="22" t="str">
        <x:v>M05, M06, M03</x:v>
      </x:c>
      <x:c r="L8" s="22" t="str">
        <x:v>회원 05</x:v>
      </x:c>
      <x:c r="M8" s="22" t="str">
        <x:v>M03·M05·M12</x:v>
      </x:c>
      <x:c r="N8" s="22" t="str">
        <x:v>W3~W9</x:v>
      </x:c>
      <x:c r="O8" s="22" t="n">
        <x:f>COUNTIF('02_전체기능'!$I$5:$I$220,A8)</x:f>
        <x:v>12</x:v>
      </x:c>
      <x:c r="P8" s="22" t="n">
        <x:f>COUNTIFS('02_전체기능'!$I$5:$I$220,A8,'02_전체기능'!$G$5:$G$220,"MVP")</x:f>
        <x:v>11</x:v>
      </x:c>
      <x:c r="Q8" s="28" t="n">
        <x:f>IFERROR(COUNTIFS('02_전체기능'!$I$5:$I$220,A8,'02_전체기능'!$N$5:$N$220,"완료")/O8,0)</x:f>
        <x:v>0</x:v>
      </x:c>
    </x:row>
    <x:row r="9">
      <x:c r="A9" s="25" t="str">
        <x:v>M05</x:v>
      </x:c>
      <x:c r="B9" s="22" t="str">
        <x:v>회원 05</x:v>
      </x:c>
      <x:c r="C9" s="22" t="str">
        <x:v>Agent Runtime 리드</x:v>
      </x:c>
      <x:c r="D9" s="22" t="str">
        <x:v>Agent Runtime &amp; LLM Adapter</x:v>
      </x:c>
      <x:c r="E9" s="22" t="str">
        <x:v>사용자 실행</x:v>
      </x:c>
      <x:c r="F9" s="22" t="str">
        <x:v>고급</x:v>
      </x:c>
      <x:c r="G9" s="22" t="str">
        <x:v>Python/Agent 고급</x:v>
      </x:c>
      <x:c r="H9" s="22" t="str">
        <x:v>Package 로딩·Workflow·LLM·RAG·MCP 조정</x:v>
      </x:c>
      <x:c r="I9" s="22" t="str">
        <x:v>질문 분석 후 RAG 검색과 MCP Tool을 호출해 답변 생성</x:v>
      </x:c>
      <x:c r="J9" s="22" t="str">
        <x:v>Runtime Core, Ollama Adapter, 실행 API</x:v>
      </x:c>
      <x:c r="K9" s="22" t="str">
        <x:v>M06, M08, M10</x:v>
      </x:c>
      <x:c r="L9" s="22" t="str">
        <x:v>회원 02</x:v>
      </x:c>
      <x:c r="M9" s="22" t="str">
        <x:v>M04·M08·M10</x:v>
      </x:c>
      <x:c r="N9" s="22" t="str">
        <x:v>W2~W9</x:v>
      </x:c>
      <x:c r="O9" s="22" t="n">
        <x:f>COUNTIF('02_전체기능'!$I$5:$I$220,A9)</x:f>
        <x:v>12</x:v>
      </x:c>
      <x:c r="P9" s="22" t="n">
        <x:f>COUNTIFS('02_전체기능'!$I$5:$I$220,A9,'02_전체기능'!$G$5:$G$220,"MVP")</x:f>
        <x:v>11</x:v>
      </x:c>
      <x:c r="Q9" s="28" t="n">
        <x:f>IFERROR(COUNTIFS('02_전체기능'!$I$5:$I$220,A9,'02_전체기능'!$N$5:$N$220,"완료")/O9,0)</x:f>
        <x:v>0</x:v>
      </x:c>
    </x:row>
    <x:row r="10">
      <x:c r="A10" s="25" t="str">
        <x:v>M06</x:v>
      </x:c>
      <x:c r="B10" s="22" t="str">
        <x:v>회원 06</x:v>
      </x:c>
      <x:c r="C10" s="22" t="str">
        <x:v>패키지 규격·템플릿 담당</x:v>
      </x:c>
      <x:c r="D10" s="22" t="str">
        <x:v>Package Spec &amp; Office Profiles</x:v>
      </x:c>
      <x:c r="E10" s="22" t="str">
        <x:v>표준·설정</x:v>
      </x:c>
      <x:c r="F10" s="22" t="str">
        <x:v>초중급</x:v>
      </x:c>
      <x:c r="G10" s="22" t="str">
        <x:v>구조화·문서화 강점</x:v>
      </x:c>
      <x:c r="H10" s="22" t="str">
        <x:v>Manifest·Profile Schema와 샘플 패키지 정의</x:v>
      </x:c>
      <x:c r="I10" s="22" t="str">
        <x:v>Indexing Profile에서 Parent 1200, Child 350을 선언</x:v>
      </x:c>
      <x:c r="J10" s="22" t="str">
        <x:v>JSON Schema, YAML Template, Validator</x:v>
      </x:c>
      <x:c r="K10" s="22" t="str">
        <x:v>없음</x:v>
      </x:c>
      <x:c r="L10" s="22" t="str">
        <x:v>회원 05</x:v>
      </x:c>
      <x:c r="M10" s="22" t="str">
        <x:v>전 모듈</x:v>
      </x:c>
      <x:c r="N10" s="22" t="str">
        <x:v>W1~W6</x:v>
      </x:c>
      <x:c r="O10" s="22" t="n">
        <x:f>COUNTIF('02_전체기능'!$I$5:$I$220,A10)</x:f>
        <x:v>12</x:v>
      </x:c>
      <x:c r="P10" s="22" t="n">
        <x:f>COUNTIFS('02_전체기능'!$I$5:$I$220,A10,'02_전체기능'!$G$5:$G$220,"MVP")</x:f>
        <x:v>11</x:v>
      </x:c>
      <x:c r="Q10" s="28" t="n">
        <x:f>IFERROR(COUNTIFS('02_전체기능'!$I$5:$I$220,A10,'02_전체기능'!$N$5:$N$220,"완료")/O10,0)</x:f>
        <x:v>0</x:v>
      </x:c>
    </x:row>
    <x:row r="11">
      <x:c r="A11" s="25" t="str">
        <x:v>M07</x:v>
      </x:c>
      <x:c r="B11" s="22" t="str">
        <x:v>회원 07</x:v>
      </x:c>
      <x:c r="C11" s="22" t="str">
        <x:v>RAG 인덱싱 담당</x:v>
      </x:c>
      <x:c r="D11" s="22" t="str">
        <x:v>RAG Indexing Runtime</x:v>
      </x:c>
      <x:c r="E11" s="22" t="str">
        <x:v>RAG 구축</x:v>
      </x:c>
      <x:c r="F11" s="22" t="str">
        <x:v>고급</x:v>
      </x:c>
      <x:c r="G11" s="22" t="str">
        <x:v>Python/RAG 고급</x:v>
      </x:c>
      <x:c r="H11" s="22" t="str">
        <x:v>로드·파싱·청킹·임베딩·Chroma/BM25 색인</x:v>
      </x:c>
      <x:c r="I11" s="22" t="str">
        <x:v>인사 규정을 Parent-Child로 청킹해 로컬 인덱스 생성</x:v>
      </x:c>
      <x:c r="J11" s="22" t="str">
        <x:v>Indexing CLI/Service, Chroma Index</x:v>
      </x:c>
      <x:c r="K11" s="22" t="str">
        <x:v>M06</x:v>
      </x:c>
      <x:c r="L11" s="22" t="str">
        <x:v>회원 08</x:v>
      </x:c>
      <x:c r="M11" s="22" t="str">
        <x:v>M08·M09</x:v>
      </x:c>
      <x:c r="N11" s="22" t="str">
        <x:v>W1~W8</x:v>
      </x:c>
      <x:c r="O11" s="22" t="n">
        <x:f>COUNTIF('02_전체기능'!$I$5:$I$220,A11)</x:f>
        <x:v>12</x:v>
      </x:c>
      <x:c r="P11" s="22" t="n">
        <x:f>COUNTIFS('02_전체기능'!$I$5:$I$220,A11,'02_전체기능'!$G$5:$G$220,"MVP")</x:f>
        <x:v>11</x:v>
      </x:c>
      <x:c r="Q11" s="28" t="n">
        <x:f>IFERROR(COUNTIFS('02_전체기능'!$I$5:$I$220,A11,'02_전체기능'!$N$5:$N$220,"완료")/O11,0)</x:f>
        <x:v>0</x:v>
      </x:c>
    </x:row>
    <x:row r="12">
      <x:c r="A12" s="25" t="str">
        <x:v>M08</x:v>
      </x:c>
      <x:c r="B12" s="22" t="str">
        <x:v>회원 08</x:v>
      </x:c>
      <x:c r="C12" s="22" t="str">
        <x:v>RAG 검색 담당</x:v>
      </x:c>
      <x:c r="D12" s="22" t="str">
        <x:v>RAG Search Runtime</x:v>
      </x:c>
      <x:c r="E12" s="22" t="str">
        <x:v>RAG 실행</x:v>
      </x:c>
      <x:c r="F12" s="22" t="str">
        <x:v>고급</x:v>
      </x:c>
      <x:c r="G12" s="22" t="str">
        <x:v>검색/RAG 고급</x:v>
      </x:c>
      <x:c r="H12" s="22" t="str">
        <x:v>질의 재작성·Vector/BM25·RRF·문맥 구성</x:v>
      </x:c>
      <x:c r="I12" s="22" t="str">
        <x:v>아이 돌봄 질문을 육아휴직 규정 검색 질의로 변환</x:v>
      </x:c>
      <x:c r="J12" s="22" t="str">
        <x:v>Search Runtime, Retrieval API</x:v>
      </x:c>
      <x:c r="K12" s="22" t="str">
        <x:v>M06, M07</x:v>
      </x:c>
      <x:c r="L12" s="22" t="str">
        <x:v>회원 07</x:v>
      </x:c>
      <x:c r="M12" s="22" t="str">
        <x:v>M05·M09</x:v>
      </x:c>
      <x:c r="N12" s="22" t="str">
        <x:v>W3~W9</x:v>
      </x:c>
      <x:c r="O12" s="22" t="n">
        <x:f>COUNTIF('02_전체기능'!$I$5:$I$220,A12)</x:f>
        <x:v>12</x:v>
      </x:c>
      <x:c r="P12" s="22" t="n">
        <x:f>COUNTIFS('02_전체기능'!$I$5:$I$220,A12,'02_전체기능'!$G$5:$G$220,"MVP")</x:f>
        <x:v>10</x:v>
      </x:c>
      <x:c r="Q12" s="28" t="n">
        <x:f>IFERROR(COUNTIFS('02_전체기능'!$I$5:$I$220,A12,'02_전체기능'!$N$5:$N$220,"완료")/O12,0)</x:f>
        <x:v>0</x:v>
      </x:c>
    </x:row>
    <x:row r="13">
      <x:c r="A13" s="25" t="str">
        <x:v>M09</x:v>
      </x:c>
      <x:c r="B13" s="22" t="str">
        <x:v>회원 09</x:v>
      </x:c>
      <x:c r="C13" s="22" t="str">
        <x:v>RAG 패키징·평가 담당</x:v>
      </x:c>
      <x:c r="D13" s="22" t="str">
        <x:v>RAG Package &amp; Evaluation</x:v>
      </x:c>
      <x:c r="E13" s="22" t="str">
        <x:v>품질·자산</x:v>
      </x:c>
      <x:c r="F13" s="22" t="str">
        <x:v>중급</x:v>
      </x:c>
      <x:c r="G13" s="22" t="str">
        <x:v>데이터/테스트 중급</x:v>
      </x:c>
      <x:c r="H13" s="22" t="str">
        <x:v>RAG Package 조립·평가 데이터·회귀 리포트</x:v>
      </x:c>
      <x:c r="I13" s="22" t="str">
        <x:v>RAG 1.0과 1.1의 Recall@5·응답시간 비교</x:v>
      </x:c>
      <x:c r="J13" s="22" t="str">
        <x:v>RAG ZIP, Evaluation Runner, Data Card</x:v>
      </x:c>
      <x:c r="K13" s="22" t="str">
        <x:v>M06, M07, M08</x:v>
      </x:c>
      <x:c r="L13" s="22" t="str">
        <x:v>회원 08</x:v>
      </x:c>
      <x:c r="M13" s="22" t="str">
        <x:v>M07·M08·M12</x:v>
      </x:c>
      <x:c r="N13" s="22" t="str">
        <x:v>W4~W10</x:v>
      </x:c>
      <x:c r="O13" s="22" t="n">
        <x:f>COUNTIF('02_전체기능'!$I$5:$I$220,A13)</x:f>
        <x:v>12</x:v>
      </x:c>
      <x:c r="P13" s="22" t="n">
        <x:f>COUNTIFS('02_전체기능'!$I$5:$I$220,A13,'02_전체기능'!$G$5:$G$220,"MVP")</x:f>
        <x:v>10</x:v>
      </x:c>
      <x:c r="Q13" s="28" t="n">
        <x:f>IFERROR(COUNTIFS('02_전체기능'!$I$5:$I$220,A13,'02_전체기능'!$N$5:$N$220,"완료")/O13,0)</x:f>
        <x:v>0</x:v>
      </x:c>
    </x:row>
    <x:row r="14">
      <x:c r="A14" s="25" t="str">
        <x:v>M10</x:v>
      </x:c>
      <x:c r="B14" s="22" t="str">
        <x:v>회원 10</x:v>
      </x:c>
      <x:c r="C14" s="22" t="str">
        <x:v>MCP 서버·커넥터 담당</x:v>
      </x:c>
      <x:c r="D14" s="22" t="str">
        <x:v>Office MCP Server &amp; Connectors</x:v>
      </x:c>
      <x:c r="E14" s="22" t="str">
        <x:v>업무 연결</x:v>
      </x:c>
      <x:c r="F14" s="22" t="str">
        <x:v>고급</x:v>
      </x:c>
      <x:c r="G14" s="22" t="str">
        <x:v>백엔드/DB 고급</x:v>
      </x:c>
      <x:c r="H14" s="22" t="str">
        <x:v>MCP Tool 등록·권한·DB Connector·감사</x:v>
      </x:c>
      <x:c r="I14" s="22" t="str">
        <x:v>읽기 전용 Oracle Metadata Tool로 컬럼 정보 조회</x:v>
      </x:c>
      <x:c r="J14" s="22" t="str">
        <x:v>MCP Server, DB Tools, Health API</x:v>
      </x:c>
      <x:c r="K14" s="22" t="str">
        <x:v>M06, M11</x:v>
      </x:c>
      <x:c r="L14" s="22" t="str">
        <x:v>회원 11</x:v>
      </x:c>
      <x:c r="M14" s="22" t="str">
        <x:v>M05·M11</x:v>
      </x:c>
      <x:c r="N14" s="22" t="str">
        <x:v>W1~W9</x:v>
      </x:c>
      <x:c r="O14" s="22" t="n">
        <x:f>COUNTIF('02_전체기능'!$I$5:$I$220,A14)</x:f>
        <x:v>12</x:v>
      </x:c>
      <x:c r="P14" s="22" t="n">
        <x:f>COUNTIFS('02_전체기능'!$I$5:$I$220,A14,'02_전체기능'!$G$5:$G$220,"MVP")</x:f>
        <x:v>10</x:v>
      </x:c>
      <x:c r="Q14" s="28" t="n">
        <x:f>IFERROR(COUNTIFS('02_전체기능'!$I$5:$I$220,A14,'02_전체기능'!$N$5:$N$220,"완료")/O14,0)</x:f>
        <x:v>0</x:v>
      </x:c>
    </x:row>
    <x:row r="15">
      <x:c r="A15" s="25" t="str">
        <x:v>M11</x:v>
      </x:c>
      <x:c r="B15" s="22" t="str">
        <x:v>회원 11</x:v>
      </x:c>
      <x:c r="C15" s="22" t="str">
        <x:v>보안·거버넌스 담당</x:v>
      </x:c>
      <x:c r="D15" s="22" t="str">
        <x:v>Security, Governance &amp; Audit</x:v>
      </x:c>
      <x:c r="E15" s="22" t="str">
        <x:v>공통 보안</x:v>
      </x:c>
      <x:c r="F15" s="22" t="str">
        <x:v>고급</x:v>
      </x:c>
      <x:c r="G15" s="22" t="str">
        <x:v>보안/플랫폼 고급</x:v>
      </x:c>
      <x:c r="H15" s="22" t="str">
        <x:v>RBAC·승인·Checksum·서명·감사·회수 정책</x:v>
      </x:c>
      <x:c r="I15" s="22" t="str">
        <x:v>승인되지 않은 Agent Package 설치를 차단</x:v>
      </x:c>
      <x:c r="J15" s="22" t="str">
        <x:v>Security Policy, Audit Schema, 검증 Hook</x:v>
      </x:c>
      <x:c r="K15" s="22" t="str">
        <x:v>M06</x:v>
      </x:c>
      <x:c r="L15" s="22" t="str">
        <x:v>회원 02</x:v>
      </x:c>
      <x:c r="M15" s="22" t="str">
        <x:v>M02·M03·M10</x:v>
      </x:c>
      <x:c r="N15" s="22" t="str">
        <x:v>W1~W10</x:v>
      </x:c>
      <x:c r="O15" s="22" t="n">
        <x:f>COUNTIF('02_전체기능'!$I$5:$I$220,A15)</x:f>
        <x:v>12</x:v>
      </x:c>
      <x:c r="P15" s="22" t="n">
        <x:f>COUNTIFS('02_전체기능'!$I$5:$I$220,A15,'02_전체기능'!$G$5:$G$220,"MVP")</x:f>
        <x:v>7</x:v>
      </x:c>
      <x:c r="Q15" s="28" t="n">
        <x:f>IFERROR(COUNTIFS('02_전체기능'!$I$5:$I$220,A15,'02_전체기능'!$N$5:$N$220,"완료")/O15,0)</x:f>
        <x:v>0</x:v>
      </x:c>
    </x:row>
    <x:row r="16">
      <x:c r="A16" s="26" t="str">
        <x:v>M12</x:v>
      </x:c>
      <x:c r="B16" s="23" t="str">
        <x:v>회원 12</x:v>
      </x:c>
      <x:c r="C16" s="23" t="str">
        <x:v>통합 QA·문서 담당</x:v>
      </x:c>
      <x:c r="D16" s="23" t="str">
        <x:v>QA, Integration &amp; Documentation</x:v>
      </x:c>
      <x:c r="E16" s="23" t="str">
        <x:v>통합·품질</x:v>
      </x:c>
      <x:c r="F16" s="23" t="str">
        <x:v>초중급</x:v>
      </x:c>
      <x:c r="G16" s="23" t="str">
        <x:v>테스트/조율 강점</x:v>
      </x:c>
      <x:c r="H16" s="23" t="str">
        <x:v>계약 테스트·E2E·CI·가이드·데모 운영</x:v>
      </x:c>
      <x:c r="I16" s="23" t="str">
        <x:v>Portal 다운로드부터 폐쇄망 Agent 실행까지 자동 검증</x:v>
      </x:c>
      <x:c r="J16" s="23" t="str">
        <x:v>Test Suite, CI, 통합 가이드, 데모</x:v>
      </x:c>
      <x:c r="K16" s="23" t="str">
        <x:v>전 모듈</x:v>
      </x:c>
      <x:c r="L16" s="23" t="str">
        <x:v>회원 05</x:v>
      </x:c>
      <x:c r="M16" s="23" t="str">
        <x:v>전 모듈</x:v>
      </x:c>
      <x:c r="N16" s="23" t="str">
        <x:v>W1~W10</x:v>
      </x:c>
      <x:c r="O16" s="23" t="n">
        <x:f>COUNTIF('02_전체기능'!$I$5:$I$220,A16)</x:f>
        <x:v>12</x:v>
      </x:c>
      <x:c r="P16" s="23" t="n">
        <x:f>COUNTIFS('02_전체기능'!$I$5:$I$220,A16,'02_전체기능'!$G$5:$G$220,"MVP")</x:f>
        <x:v>12</x:v>
      </x:c>
      <x:c r="Q16" s="29" t="n">
        <x:f>IFERROR(COUNTIFS('02_전체기능'!$I$5:$I$220,A16,'02_전체기능'!$N$5:$N$220,"완료")/O16,0)</x:f>
        <x:v>0</x:v>
      </x:c>
    </x:row>
  </x:sheetData>
  <x:mergeCells>
    <x:mergeCell ref="A1:Q1"/>
    <x:mergeCell ref="A2:Q2"/>
  </x:mergeCells>
  <x:conditionalFormatting sqref="F5:F16">
    <x:cfRule type="containsText" dxfId="4" priority="1" operator="containsText" text="고급"/>
    <x:cfRule type="containsText" dxfId="5" priority="2" operator="containsText" text="중급"/>
  </x:conditionalFormatting>
  <x:conditionalFormatting sqref="Q5:Q16">
    <x:cfRule type="dataBar" priority="3">
      <x:dataBar>
        <x:cfvo type="min"/>
        <x:cfvo type="max"/>
        <x:color rgb="FF2F7656"/>
      </x:dataBar>
      <x:extLst>
        <x:ext xmlns:x14="http://schemas.microsoft.com/office/spreadsheetml/2009/9/main" uri="{B025F937-C7B1-47D3-B67F-A62EFF666E3E}">
          <x14:id>{C95F97C4-D606-5F1E-D516-C2D4C007F449}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de616d9b4fc4ec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95F97C4-D606-5F1E-D516-C2D4C007F449}">
            <x14:dataBar gradient="1">
              <x14:cfvo type="min"/>
              <x14:cfvo type="max"/>
              <x14:fillColor rgb="FF2F7656"/>
            </x14:dataBar>
          </x14:cfRule>
          <xm:sqref>Q5:Q16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3" hidden="0" customWidth="1"/>
    <x:col min="5" max="5" width="31" hidden="0" customWidth="1"/>
    <x:col min="6" max="6" width="34" hidden="0" customWidth="1"/>
    <x:col min="7" max="7" width="10" hidden="0" customWidth="1"/>
    <x:col min="8" max="8" width="10" hidden="0" customWidth="1"/>
    <x:col min="9" max="9" width="10" hidden="0" customWidth="1"/>
    <x:col min="10" max="10" width="11" hidden="0" customWidth="1"/>
    <x:col min="11" max="11" width="24" hidden="0" customWidth="1"/>
    <x:col min="12" max="12" width="18" hidden="0" customWidth="1"/>
    <x:col min="13" max="13" width="12" hidden="0" customWidth="1"/>
    <x:col min="14" max="14" width="11" hidden="0" customWidth="1"/>
    <x:col min="15" max="15" width="11" hidden="0" customWidth="1"/>
    <x:col min="16" max="16" width="34" hidden="0" customWidth="1"/>
  </x:cols>
  <x:sheetData>
    <x:row r="1" ht="34" customHeight="1">
      <x:c r="A1" s="58" t="str">
        <x:v>Enterprise AI Asset Hub · 전체 기능 백로그</x:v>
      </x:c>
      <x:c r="B1" s="58" t="str">
        <x:v>Enterprise AI Asset Hub · 전체 기능 백로그</x:v>
      </x:c>
      <x:c r="C1" s="58" t="str">
        <x:v>Enterprise AI Asset Hub · 전체 기능 백로그</x:v>
      </x:c>
      <x:c r="D1" s="58" t="str">
        <x:v>Enterprise AI Asset Hub · 전체 기능 백로그</x:v>
      </x:c>
      <x:c r="E1" s="58" t="str">
        <x:v>Enterprise AI Asset Hub · 전체 기능 백로그</x:v>
      </x:c>
      <x:c r="F1" s="58" t="str">
        <x:v>Enterprise AI Asset Hub · 전체 기능 백로그</x:v>
      </x:c>
      <x:c r="G1" s="58" t="str">
        <x:v>Enterprise AI Asset Hub · 전체 기능 백로그</x:v>
      </x:c>
      <x:c r="H1" s="58" t="str">
        <x:v>Enterprise AI Asset Hub · 전체 기능 백로그</x:v>
      </x:c>
      <x:c r="I1" s="58" t="str">
        <x:v>Enterprise AI Asset Hub · 전체 기능 백로그</x:v>
      </x:c>
      <x:c r="J1" s="58" t="str">
        <x:v>Enterprise AI Asset Hub · 전체 기능 백로그</x:v>
      </x:c>
      <x:c r="K1" s="58" t="str">
        <x:v>Enterprise AI Asset Hub · 전체 기능 백로그</x:v>
      </x:c>
      <x:c r="L1" s="58" t="str">
        <x:v>Enterprise AI Asset Hub · 전체 기능 백로그</x:v>
      </x:c>
      <x:c r="M1" s="58" t="str">
        <x:v>Enterprise AI Asset Hub · 전체 기능 백로그</x:v>
      </x:c>
      <x:c r="N1" s="58" t="str">
        <x:v>Enterprise AI Asset Hub · 전체 기능 백로그</x:v>
      </x:c>
      <x:c r="O1" s="58" t="str">
        <x:v>Enterprise AI Asset Hub · 전체 기능 백로그</x:v>
      </x:c>
      <x:c r="P1" s="58" t="str">
        <x:v>Enterprise AI Asset Hub · 전체 기능 백로그</x:v>
      </x:c>
    </x:row>
    <x:row r="2" ht="28" customHeight="1">
      <x:c r="A2" s="59" t="str">
        <x:v>우선순위·난이도·담당자·사용 예시·완료 기준을 포함한 실행 목록 | 상태 열은 연구회에서 갱신</x:v>
      </x:c>
      <x:c r="B2" s="59" t="str">
        <x:v>우선순위·난이도·담당자·사용 예시·완료 기준을 포함한 실행 목록 | 상태 열은 연구회에서 갱신</x:v>
      </x:c>
      <x:c r="C2" s="59" t="str">
        <x:v>우선순위·난이도·담당자·사용 예시·완료 기준을 포함한 실행 목록 | 상태 열은 연구회에서 갱신</x:v>
      </x:c>
      <x:c r="D2" s="59" t="str">
        <x:v>우선순위·난이도·담당자·사용 예시·완료 기준을 포함한 실행 목록 | 상태 열은 연구회에서 갱신</x:v>
      </x:c>
      <x:c r="E2" s="59" t="str">
        <x:v>우선순위·난이도·담당자·사용 예시·완료 기준을 포함한 실행 목록 | 상태 열은 연구회에서 갱신</x:v>
      </x:c>
      <x:c r="F2" s="59" t="str">
        <x:v>우선순위·난이도·담당자·사용 예시·완료 기준을 포함한 실행 목록 | 상태 열은 연구회에서 갱신</x:v>
      </x:c>
      <x:c r="G2" s="59" t="str">
        <x:v>우선순위·난이도·담당자·사용 예시·완료 기준을 포함한 실행 목록 | 상태 열은 연구회에서 갱신</x:v>
      </x:c>
      <x:c r="H2" s="59" t="str">
        <x:v>우선순위·난이도·담당자·사용 예시·완료 기준을 포함한 실행 목록 | 상태 열은 연구회에서 갱신</x:v>
      </x:c>
      <x:c r="I2" s="59" t="str">
        <x:v>우선순위·난이도·담당자·사용 예시·완료 기준을 포함한 실행 목록 | 상태 열은 연구회에서 갱신</x:v>
      </x:c>
      <x:c r="J2" s="59" t="str">
        <x:v>우선순위·난이도·담당자·사용 예시·완료 기준을 포함한 실행 목록 | 상태 열은 연구회에서 갱신</x:v>
      </x:c>
      <x:c r="K2" s="59" t="str">
        <x:v>우선순위·난이도·담당자·사용 예시·완료 기준을 포함한 실행 목록 | 상태 열은 연구회에서 갱신</x:v>
      </x:c>
      <x:c r="L2" s="59" t="str">
        <x:v>우선순위·난이도·담당자·사용 예시·완료 기준을 포함한 실행 목록 | 상태 열은 연구회에서 갱신</x:v>
      </x:c>
      <x:c r="M2" s="59" t="str">
        <x:v>우선순위·난이도·담당자·사용 예시·완료 기준을 포함한 실행 목록 | 상태 열은 연구회에서 갱신</x:v>
      </x:c>
      <x:c r="N2" s="59" t="str">
        <x:v>우선순위·난이도·담당자·사용 예시·완료 기준을 포함한 실행 목록 | 상태 열은 연구회에서 갱신</x:v>
      </x:c>
      <x:c r="O2" s="59" t="str">
        <x:v>우선순위·난이도·담당자·사용 예시·완료 기준을 포함한 실행 목록 | 상태 열은 연구회에서 갱신</x:v>
      </x:c>
      <x:c r="P2" s="59" t="str">
        <x:v>우선순위·난이도·담당자·사용 예시·완료 기준을 포함한 실행 목록 | 상태 열은 연구회에서 갱신</x:v>
      </x:c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</x:row>
    <x:row r="4" ht="32" customHeight="1">
      <x:c r="A4" s="70" t="str">
        <x:v>기능 ID</x:v>
      </x:c>
      <x:c r="B4" s="70" t="str">
        <x:v>Depth 1</x:v>
      </x:c>
      <x:c r="C4" s="70" t="str">
        <x:v>Depth 2</x:v>
      </x:c>
      <x:c r="D4" s="70" t="str">
        <x:v>Depth 3</x:v>
      </x:c>
      <x:c r="E4" s="70" t="str">
        <x:v>사용 방식</x:v>
      </x:c>
      <x:c r="F4" s="70" t="str">
        <x:v>사용 예시</x:v>
      </x:c>
      <x:c r="G4" s="70" t="str">
        <x:v>우선순위</x:v>
      </x:c>
      <x:c r="H4" s="70" t="str">
        <x:v>난이도</x:v>
      </x:c>
      <x:c r="I4" s="70" t="str">
        <x:v>모듈 ID</x:v>
      </x:c>
      <x:c r="J4" s="70" t="str">
        <x:v>담당자</x:v>
      </x:c>
      <x:c r="K4" s="70" t="str">
        <x:v>산출물</x:v>
      </x:c>
      <x:c r="L4" s="70" t="str">
        <x:v>선행조건</x:v>
      </x:c>
      <x:c r="M4" s="70" t="str">
        <x:v>개발 단계</x:v>
      </x:c>
      <x:c r="N4" s="70" t="str">
        <x:v>상태</x:v>
      </x:c>
      <x:c r="O4" s="70" t="str">
        <x:v>검증 담당</x:v>
      </x:c>
      <x:c r="P4" s="70" t="str">
        <x:v>완료 기준</x:v>
      </x:c>
    </x:row>
    <x:row r="5">
      <x:c r="A5" s="24" t="str">
        <x:v>M01-F01</x:v>
      </x:c>
      <x:c r="B5" s="21" t="str">
        <x:v>포털</x:v>
      </x:c>
      <x:c r="C5" s="21" t="str">
        <x:v>공통 UI</x:v>
      </x:c>
      <x:c r="D5" s="21" t="str">
        <x:v>앱 셸·내비게이션</x:v>
      </x:c>
      <x:c r="E5" s="21" t="str">
        <x:v>포털의 공통 화면 구조 제공</x:v>
      </x:c>
      <x:c r="F5" s="21" t="str">
        <x:v>자산·승인·다운로드 메뉴 이동</x:v>
      </x:c>
      <x:c r="G5" s="21" t="str">
        <x:v>MVP</x:v>
      </x:c>
      <x:c r="H5" s="21" t="str">
        <x:v>중급</x:v>
      </x:c>
      <x:c r="I5" s="21" t="str">
        <x:v>M01</x:v>
      </x:c>
      <x:c r="J5" s="21" t="str">
        <x:v>회원 01</x:v>
      </x:c>
      <x:c r="K5" s="21" t="str">
        <x:v>포털 UI</x:v>
      </x:c>
      <x:c r="L5" s="21" t="str">
        <x:v>M02</x:v>
      </x:c>
      <x:c r="M5" s="21" t="str">
        <x:v>P1 설계</x:v>
      </x:c>
      <x:c r="N5" s="21" t="str">
        <x:v>미착수</x:v>
      </x:c>
      <x:c r="O5" s="21" t="str">
        <x:v>회원 02</x:v>
      </x:c>
      <x:c r="P5" s="21" t="str">
        <x:v>앱 셸·내비게이션 기능이 예시 시나리오에서 동작하고 테스트 증거가 저장됨</x:v>
      </x:c>
    </x:row>
    <x:row r="6">
      <x:c r="A6" s="25" t="str">
        <x:v>M01-F02</x:v>
      </x:c>
      <x:c r="B6" s="22" t="str">
        <x:v>포털</x:v>
      </x:c>
      <x:c r="C6" s="22" t="str">
        <x:v>자산 탐색</x:v>
      </x:c>
      <x:c r="D6" s="22" t="str">
        <x:v>통합 카탈로그</x:v>
      </x:c>
      <x:c r="E6" s="22" t="str">
        <x:v>Agent·RAG·MCP·Prompt 목록 표시</x:v>
      </x:c>
      <x:c r="F6" s="22" t="str">
        <x:v>Nexacro 관련 자산을 한 화면에서 확인</x:v>
      </x:c>
      <x:c r="G6" s="22" t="str">
        <x:v>MVP</x:v>
      </x:c>
      <x:c r="H6" s="22" t="str">
        <x:v>중급</x:v>
      </x:c>
      <x:c r="I6" s="22" t="str">
        <x:v>M01</x:v>
      </x:c>
      <x:c r="J6" s="22" t="str">
        <x:v>회원 01</x:v>
      </x:c>
      <x:c r="K6" s="22" t="str">
        <x:v>카탈로그 화면</x:v>
      </x:c>
      <x:c r="L6" s="22" t="str">
        <x:v>M02</x:v>
      </x:c>
      <x:c r="M6" s="22" t="str">
        <x:v>P2 개발</x:v>
      </x:c>
      <x:c r="N6" s="22" t="str">
        <x:v>미착수</x:v>
      </x:c>
      <x:c r="O6" s="22" t="str">
        <x:v>회원 02</x:v>
      </x:c>
      <x:c r="P6" s="22" t="str">
        <x:v>통합 카탈로그 기능이 예시 시나리오에서 동작하고 테스트 증거가 저장됨</x:v>
      </x:c>
    </x:row>
    <x:row r="7">
      <x:c r="A7" s="25" t="str">
        <x:v>M01-F03</x:v>
      </x:c>
      <x:c r="B7" s="22" t="str">
        <x:v>포털</x:v>
      </x:c>
      <x:c r="C7" s="22" t="str">
        <x:v>자산 탐색</x:v>
      </x:c>
      <x:c r="D7" s="22" t="str">
        <x:v>키워드 검색</x:v>
      </x:c>
      <x:c r="E7" s="22" t="str">
        <x:v>이름·설명·태그 검색</x:v>
      </x:c>
      <x:c r="F7" s="22" t="str">
        <x:v>'Nexacro'로 관련 Agent와 RAG 검색</x:v>
      </x:c>
      <x:c r="G7" s="22" t="str">
        <x:v>MVP</x:v>
      </x:c>
      <x:c r="H7" s="22" t="str">
        <x:v>중급</x:v>
      </x:c>
      <x:c r="I7" s="22" t="str">
        <x:v>M01</x:v>
      </x:c>
      <x:c r="J7" s="22" t="str">
        <x:v>회원 01</x:v>
      </x:c>
      <x:c r="K7" s="22" t="str">
        <x:v>검색 UI</x:v>
      </x:c>
      <x:c r="L7" s="22" t="str">
        <x:v>M02</x:v>
      </x:c>
      <x:c r="M7" s="22" t="str">
        <x:v>P2 개발</x:v>
      </x:c>
      <x:c r="N7" s="22" t="str">
        <x:v>미착수</x:v>
      </x:c>
      <x:c r="O7" s="22" t="str">
        <x:v>회원 02</x:v>
      </x:c>
      <x:c r="P7" s="22" t="str">
        <x:v>키워드 검색 기능이 예시 시나리오에서 동작하고 테스트 증거가 저장됨</x:v>
      </x:c>
    </x:row>
    <x:row r="8">
      <x:c r="A8" s="25" t="str">
        <x:v>M01-F04</x:v>
      </x:c>
      <x:c r="B8" s="22" t="str">
        <x:v>포털</x:v>
      </x:c>
      <x:c r="C8" s="22" t="str">
        <x:v>자산 탐색</x:v>
      </x:c>
      <x:c r="D8" s="22" t="str">
        <x:v>복합 필터</x:v>
      </x:c>
      <x:c r="E8" s="22" t="str">
        <x:v>유형·환경·사업장·상태 필터</x:v>
      </x:c>
      <x:c r="F8" s="22" t="str">
        <x:v>폐쇄망 지원·승인됨 Agent만 표시</x:v>
      </x:c>
      <x:c r="G8" s="22" t="str">
        <x:v>MVP</x:v>
      </x:c>
      <x:c r="H8" s="22" t="str">
        <x:v>중급</x:v>
      </x:c>
      <x:c r="I8" s="22" t="str">
        <x:v>M01</x:v>
      </x:c>
      <x:c r="J8" s="22" t="str">
        <x:v>회원 01</x:v>
      </x:c>
      <x:c r="K8" s="22" t="str">
        <x:v>필터 UI</x:v>
      </x:c>
      <x:c r="L8" s="22" t="str">
        <x:v>M02</x:v>
      </x:c>
      <x:c r="M8" s="22" t="str">
        <x:v>P2 개발</x:v>
      </x:c>
      <x:c r="N8" s="22" t="str">
        <x:v>미착수</x:v>
      </x:c>
      <x:c r="O8" s="22" t="str">
        <x:v>회원 02</x:v>
      </x:c>
      <x:c r="P8" s="22" t="str">
        <x:v>복합 필터 기능이 예시 시나리오에서 동작하고 테스트 증거가 저장됨</x:v>
      </x:c>
    </x:row>
    <x:row r="9">
      <x:c r="A9" s="25" t="str">
        <x:v>M01-F05</x:v>
      </x:c>
      <x:c r="B9" s="22" t="str">
        <x:v>포털</x:v>
      </x:c>
      <x:c r="C9" s="22" t="str">
        <x:v>자산 상세</x:v>
      </x:c>
      <x:c r="D9" s="22" t="str">
        <x:v>상세·호환성</x:v>
      </x:c>
      <x:c r="E9" s="22" t="str">
        <x:v>버전·환경·담당자·보안등급 표시</x:v>
      </x:c>
      <x:c r="F9" s="22" t="str">
        <x:v>Ollama 지원 여부와 최소 Runtime 확인</x:v>
      </x:c>
      <x:c r="G9" s="22" t="str">
        <x:v>MVP</x:v>
      </x:c>
      <x:c r="H9" s="22" t="str">
        <x:v>중급</x:v>
      </x:c>
      <x:c r="I9" s="22" t="str">
        <x:v>M01</x:v>
      </x:c>
      <x:c r="J9" s="22" t="str">
        <x:v>회원 01</x:v>
      </x:c>
      <x:c r="K9" s="22" t="str">
        <x:v>상세 화면</x:v>
      </x:c>
      <x:c r="L9" s="22" t="str">
        <x:v>M02</x:v>
      </x:c>
      <x:c r="M9" s="22" t="str">
        <x:v>P2 개발</x:v>
      </x:c>
      <x:c r="N9" s="22" t="str">
        <x:v>미착수</x:v>
      </x:c>
      <x:c r="O9" s="22" t="str">
        <x:v>회원 02</x:v>
      </x:c>
      <x:c r="P9" s="22" t="str">
        <x:v>상세·호환성 기능이 예시 시나리오에서 동작하고 테스트 증거가 저장됨</x:v>
      </x:c>
    </x:row>
    <x:row r="10">
      <x:c r="A10" s="25" t="str">
        <x:v>M01-F06</x:v>
      </x:c>
      <x:c r="B10" s="22" t="str">
        <x:v>포털</x:v>
      </x:c>
      <x:c r="C10" s="22" t="str">
        <x:v>자산 상세</x:v>
      </x:c>
      <x:c r="D10" s="22" t="str">
        <x:v>의존성 표시</x:v>
      </x:c>
      <x:c r="E10" s="22" t="str">
        <x:v>필수 RAG·MCP·Prompt 관계 표시</x:v>
      </x:c>
      <x:c r="F10" s="22" t="str">
        <x:v>Agent 설치 전 필요한 3개 자산 확인</x:v>
      </x:c>
      <x:c r="G10" s="22" t="str">
        <x:v>MVP</x:v>
      </x:c>
      <x:c r="H10" s="22" t="str">
        <x:v>중급</x:v>
      </x:c>
      <x:c r="I10" s="22" t="str">
        <x:v>M01</x:v>
      </x:c>
      <x:c r="J10" s="22" t="str">
        <x:v>회원 01</x:v>
      </x:c>
      <x:c r="K10" s="22" t="str">
        <x:v>의존성 컴포넌트</x:v>
      </x:c>
      <x:c r="L10" s="22" t="str">
        <x:v>M02</x:v>
      </x:c>
      <x:c r="M10" s="22" t="str">
        <x:v>P2 개발</x:v>
      </x:c>
      <x:c r="N10" s="22" t="str">
        <x:v>미착수</x:v>
      </x:c>
      <x:c r="O10" s="22" t="str">
        <x:v>회원 02</x:v>
      </x:c>
      <x:c r="P10" s="22" t="str">
        <x:v>의존성 표시 기능이 예시 시나리오에서 동작하고 테스트 증거가 저장됨</x:v>
      </x:c>
    </x:row>
    <x:row r="11">
      <x:c r="A11" s="25" t="str">
        <x:v>M01-F07</x:v>
      </x:c>
      <x:c r="B11" s="22" t="str">
        <x:v>포털</x:v>
      </x:c>
      <x:c r="C11" s="22" t="str">
        <x:v>등록</x:v>
      </x:c>
      <x:c r="D11" s="22" t="str">
        <x:v>자산 등록 폼</x:v>
      </x:c>
      <x:c r="E11" s="22" t="str">
        <x:v>메타데이터와 패키지 업로드</x:v>
      </x:c>
      <x:c r="F11" s="22" t="str">
        <x:v>신규 RAG ZIP과 평가 결과 등록</x:v>
      </x:c>
      <x:c r="G11" s="22" t="str">
        <x:v>MVP</x:v>
      </x:c>
      <x:c r="H11" s="22" t="str">
        <x:v>중급</x:v>
      </x:c>
      <x:c r="I11" s="22" t="str">
        <x:v>M01</x:v>
      </x:c>
      <x:c r="J11" s="22" t="str">
        <x:v>회원 01</x:v>
      </x:c>
      <x:c r="K11" s="22" t="str">
        <x:v>등록 화면</x:v>
      </x:c>
      <x:c r="L11" s="22" t="str">
        <x:v>M02</x:v>
      </x:c>
      <x:c r="M11" s="22" t="str">
        <x:v>P2 개발</x:v>
      </x:c>
      <x:c r="N11" s="22" t="str">
        <x:v>미착수</x:v>
      </x:c>
      <x:c r="O11" s="22" t="str">
        <x:v>회원 02</x:v>
      </x:c>
      <x:c r="P11" s="22" t="str">
        <x:v>자산 등록 폼 기능이 예시 시나리오에서 동작하고 테스트 증거가 저장됨</x:v>
      </x:c>
    </x:row>
    <x:row r="12">
      <x:c r="A12" s="25" t="str">
        <x:v>M01-F08</x:v>
      </x:c>
      <x:c r="B12" s="22" t="str">
        <x:v>포털</x:v>
      </x:c>
      <x:c r="C12" s="22" t="str">
        <x:v>승인</x:v>
      </x:c>
      <x:c r="D12" s="22" t="str">
        <x:v>검토·승인 화면</x:v>
      </x:c>
      <x:c r="E12" s="22" t="str">
        <x:v>검토 의견·승인·반려 처리</x:v>
      </x:c>
      <x:c r="F12" s="22" t="str">
        <x:v>보안 검토자가 반려 사유 기록</x:v>
      </x:c>
      <x:c r="G12" s="22" t="str">
        <x:v>MVP</x:v>
      </x:c>
      <x:c r="H12" s="22" t="str">
        <x:v>중급</x:v>
      </x:c>
      <x:c r="I12" s="22" t="str">
        <x:v>M01</x:v>
      </x:c>
      <x:c r="J12" s="22" t="str">
        <x:v>회원 01</x:v>
      </x:c>
      <x:c r="K12" s="22" t="str">
        <x:v>승인 화면</x:v>
      </x:c>
      <x:c r="L12" s="22" t="str">
        <x:v>M02,M11</x:v>
      </x:c>
      <x:c r="M12" s="22" t="str">
        <x:v>P3 통합</x:v>
      </x:c>
      <x:c r="N12" s="22" t="str">
        <x:v>미착수</x:v>
      </x:c>
      <x:c r="O12" s="22" t="str">
        <x:v>회원 02</x:v>
      </x:c>
      <x:c r="P12" s="22" t="str">
        <x:v>검토·승인 화면 기능이 예시 시나리오에서 동작하고 테스트 증거가 저장됨</x:v>
      </x:c>
    </x:row>
    <x:row r="13">
      <x:c r="A13" s="25" t="str">
        <x:v>M01-F09</x:v>
      </x:c>
      <x:c r="B13" s="22" t="str">
        <x:v>포털</x:v>
      </x:c>
      <x:c r="C13" s="22" t="str">
        <x:v>배포</x:v>
      </x:c>
      <x:c r="D13" s="22" t="str">
        <x:v>다운로드·번들 요청</x:v>
      </x:c>
      <x:c r="E13" s="22" t="str">
        <x:v>온라인 다운로드와 오프라인 Bundle 요청</x:v>
      </x:c>
      <x:c r="F13" s="22" t="str">
        <x:v>폐쇄망 사업장용 번들 생성 요청</x:v>
      </x:c>
      <x:c r="G13" s="22" t="str">
        <x:v>MVP</x:v>
      </x:c>
      <x:c r="H13" s="22" t="str">
        <x:v>중급</x:v>
      </x:c>
      <x:c r="I13" s="22" t="str">
        <x:v>M01</x:v>
      </x:c>
      <x:c r="J13" s="22" t="str">
        <x:v>회원 01</x:v>
      </x:c>
      <x:c r="K13" s="22" t="str">
        <x:v>배포 UI</x:v>
      </x:c>
      <x:c r="L13" s="22" t="str">
        <x:v>M03</x:v>
      </x:c>
      <x:c r="M13" s="22" t="str">
        <x:v>P3 통합</x:v>
      </x:c>
      <x:c r="N13" s="22" t="str">
        <x:v>미착수</x:v>
      </x:c>
      <x:c r="O13" s="22" t="str">
        <x:v>회원 02</x:v>
      </x:c>
      <x:c r="P13" s="22" t="str">
        <x:v>다운로드·번들 요청 기능이 예시 시나리오에서 동작하고 테스트 증거가 저장됨</x:v>
      </x:c>
    </x:row>
    <x:row r="14">
      <x:c r="A14" s="25" t="str">
        <x:v>M01-F10</x:v>
      </x:c>
      <x:c r="B14" s="22" t="str">
        <x:v>포털</x:v>
      </x:c>
      <x:c r="C14" s="22" t="str">
        <x:v>품질</x:v>
      </x:c>
      <x:c r="D14" s="22" t="str">
        <x:v>평가 결과 표시</x:v>
      </x:c>
      <x:c r="E14" s="22" t="str">
        <x:v>RAG Recall·응답시간·Agent 성공률 표시</x:v>
      </x:c>
      <x:c r="F14" s="22" t="str">
        <x:v>RAG 1.1이 1.0보다 개선됐는지 확인</x:v>
      </x:c>
      <x:c r="G14" s="22" t="str">
        <x:v>확장</x:v>
      </x:c>
      <x:c r="H14" s="22" t="str">
        <x:v>중급</x:v>
      </x:c>
      <x:c r="I14" s="22" t="str">
        <x:v>M01</x:v>
      </x:c>
      <x:c r="J14" s="22" t="str">
        <x:v>회원 01</x:v>
      </x:c>
      <x:c r="K14" s="22" t="str">
        <x:v>품질 화면</x:v>
      </x:c>
      <x:c r="L14" s="22" t="str">
        <x:v>M09</x:v>
      </x:c>
      <x:c r="M14" s="22" t="str">
        <x:v>P3 통합</x:v>
      </x:c>
      <x:c r="N14" s="22" t="str">
        <x:v>미착수</x:v>
      </x:c>
      <x:c r="O14" s="22" t="str">
        <x:v>회원 02</x:v>
      </x:c>
      <x:c r="P14" s="22" t="str">
        <x:v>평가 결과 표시 기능이 예시 시나리오에서 동작하고 테스트 증거가 저장됨</x:v>
      </x:c>
    </x:row>
    <x:row r="15">
      <x:c r="A15" s="25" t="str">
        <x:v>M01-F11</x:v>
      </x:c>
      <x:c r="B15" s="22" t="str">
        <x:v>포털</x:v>
      </x:c>
      <x:c r="C15" s="22" t="str">
        <x:v>UX</x:v>
      </x:c>
      <x:c r="D15" s="22" t="str">
        <x:v>상태·오류·빈 화면</x:v>
      </x:c>
      <x:c r="E15" s="22" t="str">
        <x:v>로딩·권한부족·검색결과 없음 처리</x:v>
      </x:c>
      <x:c r="F15" s="22" t="str">
        <x:v>MCP 자산이 없을 때 등록 방법 안내</x:v>
      </x:c>
      <x:c r="G15" s="22" t="str">
        <x:v>MVP</x:v>
      </x:c>
      <x:c r="H15" s="22" t="str">
        <x:v>초중급</x:v>
      </x:c>
      <x:c r="I15" s="22" t="str">
        <x:v>M01</x:v>
      </x:c>
      <x:c r="J15" s="22" t="str">
        <x:v>회원 01</x:v>
      </x:c>
      <x:c r="K15" s="22" t="str">
        <x:v>공통 상태 UI</x:v>
      </x:c>
      <x:c r="L15" s="22" t="str">
        <x:v>M02</x:v>
      </x:c>
      <x:c r="M15" s="22" t="str">
        <x:v>P4 검증</x:v>
      </x:c>
      <x:c r="N15" s="22" t="str">
        <x:v>미착수</x:v>
      </x:c>
      <x:c r="O15" s="22" t="str">
        <x:v>회원 02</x:v>
      </x:c>
      <x:c r="P15" s="22" t="str">
        <x:v>상태·오류·빈 화면 기능이 예시 시나리오에서 동작하고 테스트 증거가 저장됨</x:v>
      </x:c>
    </x:row>
    <x:row r="16">
      <x:c r="A16" s="25" t="str">
        <x:v>M01-F12</x:v>
      </x:c>
      <x:c r="B16" s="22" t="str">
        <x:v>포털</x:v>
      </x:c>
      <x:c r="C16" s="22" t="str">
        <x:v>접근성</x:v>
      </x:c>
      <x:c r="D16" s="22" t="str">
        <x:v>키보드·대비</x:v>
      </x:c>
      <x:c r="E16" s="22" t="str">
        <x:v>키보드 탐색과 명확한 라벨 제공</x:v>
      </x:c>
      <x:c r="F16" s="22" t="str">
        <x:v>마우스 없이 자산 검색·다운로드</x:v>
      </x:c>
      <x:c r="G16" s="22" t="str">
        <x:v>확장</x:v>
      </x:c>
      <x:c r="H16" s="22" t="str">
        <x:v>중급</x:v>
      </x:c>
      <x:c r="I16" s="22" t="str">
        <x:v>M01</x:v>
      </x:c>
      <x:c r="J16" s="22" t="str">
        <x:v>회원 01</x:v>
      </x:c>
      <x:c r="K16" s="22" t="str">
        <x:v>접근성 체크</x:v>
      </x:c>
      <x:c r="L16" s="22" t="str">
        <x:v>M12</x:v>
      </x:c>
      <x:c r="M16" s="22" t="str">
        <x:v>P4 검증</x:v>
      </x:c>
      <x:c r="N16" s="22" t="str">
        <x:v>미착수</x:v>
      </x:c>
      <x:c r="O16" s="22" t="str">
        <x:v>회원 02</x:v>
      </x:c>
      <x:c r="P16" s="22" t="str">
        <x:v>키보드·대비 기능이 예시 시나리오에서 동작하고 테스트 증거가 저장됨</x:v>
      </x:c>
    </x:row>
    <x:row r="17">
      <x:c r="A17" s="25" t="str">
        <x:v>M02-F01</x:v>
      </x:c>
      <x:c r="B17" s="22" t="str">
        <x:v>포털 API</x:v>
      </x:c>
      <x:c r="C17" s="22" t="str">
        <x:v>자산</x:v>
      </x:c>
      <x:c r="D17" s="22" t="str">
        <x:v>메타데이터 Schema</x:v>
      </x:c>
      <x:c r="E17" s="22" t="str">
        <x:v>자산 공통 필드 정의</x:v>
      </x:c>
      <x:c r="F17" s="22" t="str">
        <x:v>ID·유형·버전·담당자 저장</x:v>
      </x:c>
      <x:c r="G17" s="22" t="str">
        <x:v>MVP</x:v>
      </x:c>
      <x:c r="H17" s="22" t="str">
        <x:v>고급</x:v>
      </x:c>
      <x:c r="I17" s="22" t="str">
        <x:v>M02</x:v>
      </x:c>
      <x:c r="J17" s="22" t="str">
        <x:v>회원 02</x:v>
      </x:c>
      <x:c r="K17" s="22" t="str">
        <x:v>DB Schema</x:v>
      </x:c>
      <x:c r="L17" s="22" t="str">
        <x:v>M06</x:v>
      </x:c>
      <x:c r="M17" s="22" t="str">
        <x:v>P1 설계</x:v>
      </x:c>
      <x:c r="N17" s="22" t="str">
        <x:v>미착수</x:v>
      </x:c>
      <x:c r="O17" s="22" t="str">
        <x:v>회원 05</x:v>
      </x:c>
      <x:c r="P17" s="22" t="str">
        <x:v>메타데이터 Schema 기능이 예시 시나리오에서 동작하고 테스트 증거가 저장됨</x:v>
      </x:c>
    </x:row>
    <x:row r="18">
      <x:c r="A18" s="25" t="str">
        <x:v>M02-F02</x:v>
      </x:c>
      <x:c r="B18" s="22" t="str">
        <x:v>포털 API</x:v>
      </x:c>
      <x:c r="C18" s="22" t="str">
        <x:v>자산</x:v>
      </x:c>
      <x:c r="D18" s="22" t="str">
        <x:v>CRUD API</x:v>
      </x:c>
      <x:c r="E18" s="22" t="str">
        <x:v>자산 등록·조회·수정·폐기</x:v>
      </x:c>
      <x:c r="F18" s="22" t="str">
        <x:v>Agent 초안을 등록 후 검토 요청</x:v>
      </x:c>
      <x:c r="G18" s="22" t="str">
        <x:v>MVP</x:v>
      </x:c>
      <x:c r="H18" s="22" t="str">
        <x:v>고급</x:v>
      </x:c>
      <x:c r="I18" s="22" t="str">
        <x:v>M02</x:v>
      </x:c>
      <x:c r="J18" s="22" t="str">
        <x:v>회원 02</x:v>
      </x:c>
      <x:c r="K18" s="22" t="str">
        <x:v>REST API</x:v>
      </x:c>
      <x:c r="L18" s="22" t="str">
        <x:v>M06</x:v>
      </x:c>
      <x:c r="M18" s="22" t="str">
        <x:v>P2 개발</x:v>
      </x:c>
      <x:c r="N18" s="22" t="str">
        <x:v>미착수</x:v>
      </x:c>
      <x:c r="O18" s="22" t="str">
        <x:v>회원 05</x:v>
      </x:c>
      <x:c r="P18" s="22" t="str">
        <x:v>CRUD API 기능이 예시 시나리오에서 동작하고 테스트 증거가 저장됨</x:v>
      </x:c>
    </x:row>
    <x:row r="19">
      <x:c r="A19" s="25" t="str">
        <x:v>M02-F03</x:v>
      </x:c>
      <x:c r="B19" s="22" t="str">
        <x:v>포털 API</x:v>
      </x:c>
      <x:c r="C19" s="22" t="str">
        <x:v>검색</x:v>
      </x:c>
      <x:c r="D19" s="22" t="str">
        <x:v>검색·필터 API</x:v>
      </x:c>
      <x:c r="E19" s="22" t="str">
        <x:v>키워드와 복합 조건 검색</x:v>
      </x:c>
      <x:c r="F19" s="22" t="str">
        <x:v>유형=RAG, 상태=승인됨 조회</x:v>
      </x:c>
      <x:c r="G19" s="22" t="str">
        <x:v>MVP</x:v>
      </x:c>
      <x:c r="H19" s="22" t="str">
        <x:v>고급</x:v>
      </x:c>
      <x:c r="I19" s="22" t="str">
        <x:v>M02</x:v>
      </x:c>
      <x:c r="J19" s="22" t="str">
        <x:v>회원 02</x:v>
      </x:c>
      <x:c r="K19" s="22" t="str">
        <x:v>Search API</x:v>
      </x:c>
      <x:c r="L19" s="22" t="str">
        <x:v>M01</x:v>
      </x:c>
      <x:c r="M19" s="22" t="str">
        <x:v>P2 개발</x:v>
      </x:c>
      <x:c r="N19" s="22" t="str">
        <x:v>미착수</x:v>
      </x:c>
      <x:c r="O19" s="22" t="str">
        <x:v>회원 05</x:v>
      </x:c>
      <x:c r="P19" s="22" t="str">
        <x:v>검색·필터 API 기능이 예시 시나리오에서 동작하고 테스트 증거가 저장됨</x:v>
      </x:c>
    </x:row>
    <x:row r="20">
      <x:c r="A20" s="25" t="str">
        <x:v>M02-F04</x:v>
      </x:c>
      <x:c r="B20" s="22" t="str">
        <x:v>포털 API</x:v>
      </x:c>
      <x:c r="C20" s="22" t="str">
        <x:v>버전</x:v>
      </x:c>
      <x:c r="D20" s="22" t="str">
        <x:v>버전 관리</x:v>
      </x:c>
      <x:c r="E20" s="22" t="str">
        <x:v>SemVer와 변경이력 저장</x:v>
      </x:c>
      <x:c r="F20" s="22" t="str">
        <x:v>Agent 1.1.0과 1.2.0 공존</x:v>
      </x:c>
      <x:c r="G20" s="22" t="str">
        <x:v>MVP</x:v>
      </x:c>
      <x:c r="H20" s="22" t="str">
        <x:v>고급</x:v>
      </x:c>
      <x:c r="I20" s="22" t="str">
        <x:v>M02</x:v>
      </x:c>
      <x:c r="J20" s="22" t="str">
        <x:v>회원 02</x:v>
      </x:c>
      <x:c r="K20" s="22" t="str">
        <x:v>Version API</x:v>
      </x:c>
      <x:c r="L20" s="22" t="str">
        <x:v>M06</x:v>
      </x:c>
      <x:c r="M20" s="22" t="str">
        <x:v>P2 개발</x:v>
      </x:c>
      <x:c r="N20" s="22" t="str">
        <x:v>미착수</x:v>
      </x:c>
      <x:c r="O20" s="22" t="str">
        <x:v>회원 05</x:v>
      </x:c>
      <x:c r="P20" s="22" t="str">
        <x:v>버전 관리 기능이 예시 시나리오에서 동작하고 테스트 증거가 저장됨</x:v>
      </x:c>
    </x:row>
    <x:row r="21">
      <x:c r="A21" s="25" t="str">
        <x:v>M02-F05</x:v>
      </x:c>
      <x:c r="B21" s="22" t="str">
        <x:v>포털 API</x:v>
      </x:c>
      <x:c r="C21" s="22" t="str">
        <x:v>수명주기</x:v>
      </x:c>
      <x:c r="D21" s="22" t="str">
        <x:v>상태 머신</x:v>
      </x:c>
      <x:c r="E21" s="22" t="str">
        <x:v>초안·검토·승인·중단·폐기 전환</x:v>
      </x:c>
      <x:c r="F21" s="22" t="str">
        <x:v>승인 전 다운로드 불가</x:v>
      </x:c>
      <x:c r="G21" s="22" t="str">
        <x:v>MVP</x:v>
      </x:c>
      <x:c r="H21" s="22" t="str">
        <x:v>고급</x:v>
      </x:c>
      <x:c r="I21" s="22" t="str">
        <x:v>M02</x:v>
      </x:c>
      <x:c r="J21" s="22" t="str">
        <x:v>회원 02</x:v>
      </x:c>
      <x:c r="K21" s="22" t="str">
        <x:v>Lifecycle Service</x:v>
      </x:c>
      <x:c r="L21" s="22" t="str">
        <x:v>M11</x:v>
      </x:c>
      <x:c r="M21" s="22" t="str">
        <x:v>P2 개발</x:v>
      </x:c>
      <x:c r="N21" s="22" t="str">
        <x:v>미착수</x:v>
      </x:c>
      <x:c r="O21" s="22" t="str">
        <x:v>회원 05</x:v>
      </x:c>
      <x:c r="P21" s="22" t="str">
        <x:v>상태 머신 기능이 예시 시나리오에서 동작하고 테스트 증거가 저장됨</x:v>
      </x:c>
    </x:row>
    <x:row r="22">
      <x:c r="A22" s="25" t="str">
        <x:v>M02-F06</x:v>
      </x:c>
      <x:c r="B22" s="22" t="str">
        <x:v>포털 API</x:v>
      </x:c>
      <x:c r="C22" s="22" t="str">
        <x:v>의존성</x:v>
      </x:c>
      <x:c r="D22" s="22" t="str">
        <x:v>Dependency Graph</x:v>
      </x:c>
      <x:c r="E22" s="22" t="str">
        <x:v>필수 자산과 최소 버전 저장</x:v>
      </x:c>
      <x:c r="F22" s="22" t="str">
        <x:v>Agent→RAG→Embedding 모델 관계</x:v>
      </x:c>
      <x:c r="G22" s="22" t="str">
        <x:v>MVP</x:v>
      </x:c>
      <x:c r="H22" s="22" t="str">
        <x:v>고급</x:v>
      </x:c>
      <x:c r="I22" s="22" t="str">
        <x:v>M02</x:v>
      </x:c>
      <x:c r="J22" s="22" t="str">
        <x:v>회원 02</x:v>
      </x:c>
      <x:c r="K22" s="22" t="str">
        <x:v>Dependency API</x:v>
      </x:c>
      <x:c r="L22" s="22" t="str">
        <x:v>M06</x:v>
      </x:c>
      <x:c r="M22" s="22" t="str">
        <x:v>P2 개발</x:v>
      </x:c>
      <x:c r="N22" s="22" t="str">
        <x:v>미착수</x:v>
      </x:c>
      <x:c r="O22" s="22" t="str">
        <x:v>회원 05</x:v>
      </x:c>
      <x:c r="P22" s="22" t="str">
        <x:v>Dependency Graph 기능이 예시 시나리오에서 동작하고 테스트 증거가 저장됨</x:v>
      </x:c>
    </x:row>
    <x:row r="23">
      <x:c r="A23" s="25" t="str">
        <x:v>M02-F07</x:v>
      </x:c>
      <x:c r="B23" s="22" t="str">
        <x:v>포털 API</x:v>
      </x:c>
      <x:c r="C23" s="22" t="str">
        <x:v>의존성</x:v>
      </x:c>
      <x:c r="D23" s="22" t="str">
        <x:v>호환성 검증</x:v>
      </x:c>
      <x:c r="E23" s="22" t="str">
        <x:v>누락·순환·버전충돌 확인</x:v>
      </x:c>
      <x:c r="F23" s="22" t="str">
        <x:v>요구 RAG 버전이 없으면 등록 차단</x:v>
      </x:c>
      <x:c r="G23" s="22" t="str">
        <x:v>MVP</x:v>
      </x:c>
      <x:c r="H23" s="22" t="str">
        <x:v>고급</x:v>
      </x:c>
      <x:c r="I23" s="22" t="str">
        <x:v>M02</x:v>
      </x:c>
      <x:c r="J23" s="22" t="str">
        <x:v>회원 02</x:v>
      </x:c>
      <x:c r="K23" s="22" t="str">
        <x:v>Validation Service</x:v>
      </x:c>
      <x:c r="L23" s="22" t="str">
        <x:v>M06</x:v>
      </x:c>
      <x:c r="M23" s="22" t="str">
        <x:v>P3 통합</x:v>
      </x:c>
      <x:c r="N23" s="22" t="str">
        <x:v>미착수</x:v>
      </x:c>
      <x:c r="O23" s="22" t="str">
        <x:v>회원 05</x:v>
      </x:c>
      <x:c r="P23" s="22" t="str">
        <x:v>호환성 검증 기능이 예시 시나리오에서 동작하고 테스트 증거가 저장됨</x:v>
      </x:c>
    </x:row>
    <x:row r="24">
      <x:c r="A24" s="25" t="str">
        <x:v>M02-F08</x:v>
      </x:c>
      <x:c r="B24" s="22" t="str">
        <x:v>포털 API</x:v>
      </x:c>
      <x:c r="C24" s="22" t="str">
        <x:v>파일</x:v>
      </x:c>
      <x:c r="D24" s="22" t="str">
        <x:v>파일 메타데이터 연결</x:v>
      </x:c>
      <x:c r="E24" s="22" t="str">
        <x:v>Repository 파일과 자산 버전 연결</x:v>
      </x:c>
      <x:c r="F24" s="22" t="str">
        <x:v>ZIP 해시와 저장 경로 기록</x:v>
      </x:c>
      <x:c r="G24" s="22" t="str">
        <x:v>MVP</x:v>
      </x:c>
      <x:c r="H24" s="22" t="str">
        <x:v>중급</x:v>
      </x:c>
      <x:c r="I24" s="22" t="str">
        <x:v>M02</x:v>
      </x:c>
      <x:c r="J24" s="22" t="str">
        <x:v>회원 02</x:v>
      </x:c>
      <x:c r="K24" s="22" t="str">
        <x:v>File Metadata API</x:v>
      </x:c>
      <x:c r="L24" s="22" t="str">
        <x:v>M03</x:v>
      </x:c>
      <x:c r="M24" s="22" t="str">
        <x:v>P3 통합</x:v>
      </x:c>
      <x:c r="N24" s="22" t="str">
        <x:v>미착수</x:v>
      </x:c>
      <x:c r="O24" s="22" t="str">
        <x:v>회원 05</x:v>
      </x:c>
      <x:c r="P24" s="22" t="str">
        <x:v>파일 메타데이터 연결 기능이 예시 시나리오에서 동작하고 테스트 증거가 저장됨</x:v>
      </x:c>
    </x:row>
    <x:row r="25">
      <x:c r="A25" s="25" t="str">
        <x:v>M02-F09</x:v>
      </x:c>
      <x:c r="B25" s="22" t="str">
        <x:v>포털 API</x:v>
      </x:c>
      <x:c r="C25" s="22" t="str">
        <x:v>배포</x:v>
      </x:c>
      <x:c r="D25" s="22" t="str">
        <x:v>다운로드 이력</x:v>
      </x:c>
      <x:c r="E25" s="22" t="str">
        <x:v>사용자·버전·시간 기록</x:v>
      </x:c>
      <x:c r="F25" s="22" t="str">
        <x:v>누가 MCP 1.0을 받았는지 조회</x:v>
      </x:c>
      <x:c r="G25" s="22" t="str">
        <x:v>MVP</x:v>
      </x:c>
      <x:c r="H25" s="22" t="str">
        <x:v>중급</x:v>
      </x:c>
      <x:c r="I25" s="22" t="str">
        <x:v>M02</x:v>
      </x:c>
      <x:c r="J25" s="22" t="str">
        <x:v>회원 02</x:v>
      </x:c>
      <x:c r="K25" s="22" t="str">
        <x:v>Download Log API</x:v>
      </x:c>
      <x:c r="L25" s="22" t="str">
        <x:v>M03,M11</x:v>
      </x:c>
      <x:c r="M25" s="22" t="str">
        <x:v>P3 통합</x:v>
      </x:c>
      <x:c r="N25" s="22" t="str">
        <x:v>미착수</x:v>
      </x:c>
      <x:c r="O25" s="22" t="str">
        <x:v>회원 05</x:v>
      </x:c>
      <x:c r="P25" s="22" t="str">
        <x:v>다운로드 이력 기능이 예시 시나리오에서 동작하고 테스트 증거가 저장됨</x:v>
      </x:c>
    </x:row>
    <x:row r="26">
      <x:c r="A26" s="25" t="str">
        <x:v>M02-F10</x:v>
      </x:c>
      <x:c r="B26" s="22" t="str">
        <x:v>포털 API</x:v>
      </x:c>
      <x:c r="C26" s="22" t="str">
        <x:v>권한</x:v>
      </x:c>
      <x:c r="D26" s="22" t="str">
        <x:v>소유자·조직</x:v>
      </x:c>
      <x:c r="E26" s="22" t="str">
        <x:v>작성자·검토자·사용범위 관리</x:v>
      </x:c>
      <x:c r="F26" s="22" t="str">
        <x:v>HR 조직에만 HR RAG 노출</x:v>
      </x:c>
      <x:c r="G26" s="22" t="str">
        <x:v>확장</x:v>
      </x:c>
      <x:c r="H26" s="22" t="str">
        <x:v>고급</x:v>
      </x:c>
      <x:c r="I26" s="22" t="str">
        <x:v>M02</x:v>
      </x:c>
      <x:c r="J26" s="22" t="str">
        <x:v>회원 02</x:v>
      </x:c>
      <x:c r="K26" s="22" t="str">
        <x:v>Access Metadata</x:v>
      </x:c>
      <x:c r="L26" s="22" t="str">
        <x:v>M11</x:v>
      </x:c>
      <x:c r="M26" s="22" t="str">
        <x:v>P3 통합</x:v>
      </x:c>
      <x:c r="N26" s="22" t="str">
        <x:v>미착수</x:v>
      </x:c>
      <x:c r="O26" s="22" t="str">
        <x:v>회원 05</x:v>
      </x:c>
      <x:c r="P26" s="22" t="str">
        <x:v>소유자·조직 기능이 예시 시나리오에서 동작하고 테스트 증거가 저장됨</x:v>
      </x:c>
    </x:row>
    <x:row r="27">
      <x:c r="A27" s="25" t="str">
        <x:v>M02-F11</x:v>
      </x:c>
      <x:c r="B27" s="22" t="str">
        <x:v>포털 API</x:v>
      </x:c>
      <x:c r="C27" s="22" t="str">
        <x:v>문서</x:v>
      </x:c>
      <x:c r="D27" s="22" t="str">
        <x:v>OpenAPI 계약</x:v>
      </x:c>
      <x:c r="E27" s="22" t="str">
        <x:v>모든 API 요청·응답 문서화</x:v>
      </x:c>
      <x:c r="F27" s="22" t="str">
        <x:v>M01과 M03가 Mock API로 선행 개발</x:v>
      </x:c>
      <x:c r="G27" s="22" t="str">
        <x:v>MVP</x:v>
      </x:c>
      <x:c r="H27" s="22" t="str">
        <x:v>중급</x:v>
      </x:c>
      <x:c r="I27" s="22" t="str">
        <x:v>M02</x:v>
      </x:c>
      <x:c r="J27" s="22" t="str">
        <x:v>회원 02</x:v>
      </x:c>
      <x:c r="K27" s="22" t="str">
        <x:v>OpenAPI Spec</x:v>
      </x:c>
      <x:c r="L27" s="22" t="str">
        <x:v>M06</x:v>
      </x:c>
      <x:c r="M27" s="22" t="str">
        <x:v>P1 설계</x:v>
      </x:c>
      <x:c r="N27" s="22" t="str">
        <x:v>미착수</x:v>
      </x:c>
      <x:c r="O27" s="22" t="str">
        <x:v>회원 05</x:v>
      </x:c>
      <x:c r="P27" s="22" t="str">
        <x:v>OpenAPI 계약 기능이 예시 시나리오에서 동작하고 테스트 증거가 저장됨</x:v>
      </x:c>
    </x:row>
    <x:row r="28">
      <x:c r="A28" s="25" t="str">
        <x:v>M02-F12</x:v>
      </x:c>
      <x:c r="B28" s="22" t="str">
        <x:v>포털 API</x:v>
      </x:c>
      <x:c r="C28" s="22" t="str">
        <x:v>초기화</x:v>
      </x:c>
      <x:c r="D28" s="22" t="str">
        <x:v>Migration·Seed</x:v>
      </x:c>
      <x:c r="E28" s="22" t="str">
        <x:v>개발 DB와 샘플 자산 생성</x:v>
      </x:c>
      <x:c r="F28" s="22" t="str">
        <x:v>샘플 Agent 2개 자동 등록</x:v>
      </x:c>
      <x:c r="G28" s="22" t="str">
        <x:v>MVP</x:v>
      </x:c>
      <x:c r="H28" s="22" t="str">
        <x:v>중급</x:v>
      </x:c>
      <x:c r="I28" s="22" t="str">
        <x:v>M02</x:v>
      </x:c>
      <x:c r="J28" s="22" t="str">
        <x:v>회원 02</x:v>
      </x:c>
      <x:c r="K28" s="22" t="str">
        <x:v>Migration Script</x:v>
      </x:c>
      <x:c r="L28" s="22" t="str">
        <x:v>M12</x:v>
      </x:c>
      <x:c r="M28" s="22" t="str">
        <x:v>P4 검증</x:v>
      </x:c>
      <x:c r="N28" s="22" t="str">
        <x:v>미착수</x:v>
      </x:c>
      <x:c r="O28" s="22" t="str">
        <x:v>회원 05</x:v>
      </x:c>
      <x:c r="P28" s="22" t="str">
        <x:v>Migration·Seed 기능이 예시 시나리오에서 동작하고 테스트 증거가 저장됨</x:v>
      </x:c>
    </x:row>
    <x:row r="29">
      <x:c r="A29" s="25" t="str">
        <x:v>M03-F01</x:v>
      </x:c>
      <x:c r="B29" s="22" t="str">
        <x:v>배포</x:v>
      </x:c>
      <x:c r="C29" s="22" t="str">
        <x:v>저장소</x:v>
      </x:c>
      <x:c r="D29" s="22" t="str">
        <x:v>Storage Adapter</x:v>
      </x:c>
      <x:c r="E29" s="22" t="str">
        <x:v>파일 시스템·Object Storage 추상화</x:v>
      </x:c>
      <x:c r="F29" s="22" t="str">
        <x:v>PoC는 로컬 파일, 운영은 사내 저장소</x:v>
      </x:c>
      <x:c r="G29" s="22" t="str">
        <x:v>MVP</x:v>
      </x:c>
      <x:c r="H29" s="22" t="str">
        <x:v>중급</x:v>
      </x:c>
      <x:c r="I29" s="22" t="str">
        <x:v>M03</x:v>
      </x:c>
      <x:c r="J29" s="22" t="str">
        <x:v>회원 03</x:v>
      </x:c>
      <x:c r="K29" s="22" t="str">
        <x:v>Repository Adapter</x:v>
      </x:c>
      <x:c r="L29" s="22" t="str">
        <x:v>M02</x:v>
      </x:c>
      <x:c r="M29" s="22" t="str">
        <x:v>P1 설계</x:v>
      </x:c>
      <x:c r="N29" s="22" t="str">
        <x:v>미착수</x:v>
      </x:c>
      <x:c r="O29" s="22" t="str">
        <x:v>회원 11</x:v>
      </x:c>
      <x:c r="P29" s="22" t="str">
        <x:v>Storage Adapter 기능이 예시 시나리오에서 동작하고 테스트 증거가 저장됨</x:v>
      </x:c>
    </x:row>
    <x:row r="30">
      <x:c r="A30" s="25" t="str">
        <x:v>M03-F02</x:v>
      </x:c>
      <x:c r="B30" s="22" t="str">
        <x:v>배포</x:v>
      </x:c>
      <x:c r="C30" s="22" t="str">
        <x:v>다운로드</x:v>
      </x:c>
      <x:c r="D30" s="22" t="str">
        <x:v>승인 버전 다운로드</x:v>
      </x:c>
      <x:c r="E30" s="22" t="str">
        <x:v>승인된 파일만 제공</x:v>
      </x:c>
      <x:c r="F30" s="22" t="str">
        <x:v>폐기된 MCP 1.0 다운로드 차단</x:v>
      </x:c>
      <x:c r="G30" s="22" t="str">
        <x:v>MVP</x:v>
      </x:c>
      <x:c r="H30" s="22" t="str">
        <x:v>중급</x:v>
      </x:c>
      <x:c r="I30" s="22" t="str">
        <x:v>M03</x:v>
      </x:c>
      <x:c r="J30" s="22" t="str">
        <x:v>회원 03</x:v>
      </x:c>
      <x:c r="K30" s="22" t="str">
        <x:v>Download Service</x:v>
      </x:c>
      <x:c r="L30" s="22" t="str">
        <x:v>M02,M11</x:v>
      </x:c>
      <x:c r="M30" s="22" t="str">
        <x:v>P2 개발</x:v>
      </x:c>
      <x:c r="N30" s="22" t="str">
        <x:v>미착수</x:v>
      </x:c>
      <x:c r="O30" s="22" t="str">
        <x:v>회원 11</x:v>
      </x:c>
      <x:c r="P30" s="22" t="str">
        <x:v>승인 버전 다운로드 기능이 예시 시나리오에서 동작하고 테스트 증거가 저장됨</x:v>
      </x:c>
    </x:row>
    <x:row r="31">
      <x:c r="A31" s="25" t="str">
        <x:v>M03-F03</x:v>
      </x:c>
      <x:c r="B31" s="22" t="str">
        <x:v>배포</x:v>
      </x:c>
      <x:c r="C31" s="22" t="str">
        <x:v>번들</x:v>
      </x:c>
      <x:c r="D31" s="22" t="str">
        <x:v>의존성 해석</x:v>
      </x:c>
      <x:c r="E31" s="22" t="str">
        <x:v>Agent 의존 자산 자동 수집</x:v>
      </x:c>
      <x:c r="F31" s="22" t="str">
        <x:v>Agent와 RAG·Prompt·Office Profile 포함</x:v>
      </x:c>
      <x:c r="G31" s="22" t="str">
        <x:v>MVP</x:v>
      </x:c>
      <x:c r="H31" s="22" t="str">
        <x:v>고급</x:v>
      </x:c>
      <x:c r="I31" s="22" t="str">
        <x:v>M03</x:v>
      </x:c>
      <x:c r="J31" s="22" t="str">
        <x:v>회원 03</x:v>
      </x:c>
      <x:c r="K31" s="22" t="str">
        <x:v>Dependency Resolver</x:v>
      </x:c>
      <x:c r="L31" s="22" t="str">
        <x:v>M02,M06</x:v>
      </x:c>
      <x:c r="M31" s="22" t="str">
        <x:v>P2 개발</x:v>
      </x:c>
      <x:c r="N31" s="22" t="str">
        <x:v>미착수</x:v>
      </x:c>
      <x:c r="O31" s="22" t="str">
        <x:v>회원 11</x:v>
      </x:c>
      <x:c r="P31" s="22" t="str">
        <x:v>의존성 해석 기능이 예시 시나리오에서 동작하고 테스트 증거가 저장됨</x:v>
      </x:c>
    </x:row>
    <x:row r="32">
      <x:c r="A32" s="25" t="str">
        <x:v>M03-F04</x:v>
      </x:c>
      <x:c r="B32" s="22" t="str">
        <x:v>배포</x:v>
      </x:c>
      <x:c r="C32" s="22" t="str">
        <x:v>번들</x:v>
      </x:c>
      <x:c r="D32" s="22" t="str">
        <x:v>Offline Bundle 생성</x:v>
      </x:c>
      <x:c r="E32" s="22" t="str">
        <x:v>폐쇄망 반입용 ZIP 생성</x:v>
      </x:c>
      <x:c r="F32" s="22" t="str">
        <x:v>사업장 A용 실행 패키지 생성</x:v>
      </x:c>
      <x:c r="G32" s="22" t="str">
        <x:v>MVP</x:v>
      </x:c>
      <x:c r="H32" s="22" t="str">
        <x:v>중급</x:v>
      </x:c>
      <x:c r="I32" s="22" t="str">
        <x:v>M03</x:v>
      </x:c>
      <x:c r="J32" s="22" t="str">
        <x:v>회원 03</x:v>
      </x:c>
      <x:c r="K32" s="22" t="str">
        <x:v>Bundle Builder</x:v>
      </x:c>
      <x:c r="L32" s="22" t="str">
        <x:v>M06</x:v>
      </x:c>
      <x:c r="M32" s="22" t="str">
        <x:v>P2 개발</x:v>
      </x:c>
      <x:c r="N32" s="22" t="str">
        <x:v>미착수</x:v>
      </x:c>
      <x:c r="O32" s="22" t="str">
        <x:v>회원 11</x:v>
      </x:c>
      <x:c r="P32" s="22" t="str">
        <x:v>Offline Bundle 생성 기능이 예시 시나리오에서 동작하고 테스트 증거가 저장됨</x:v>
      </x:c>
    </x:row>
    <x:row r="33">
      <x:c r="A33" s="25" t="str">
        <x:v>M03-F05</x:v>
      </x:c>
      <x:c r="B33" s="22" t="str">
        <x:v>배포</x:v>
      </x:c>
      <x:c r="C33" s="22" t="str">
        <x:v>번들</x:v>
      </x:c>
      <x:c r="D33" s="22" t="str">
        <x:v>Bundle Manifest</x:v>
      </x:c>
      <x:c r="E33" s="22" t="str">
        <x:v>포함 자산·버전·크기 목록</x:v>
      </x:c>
      <x:c r="F33" s="22" t="str">
        <x:v>설치 전 전체 구성 확인</x:v>
      </x:c>
      <x:c r="G33" s="22" t="str">
        <x:v>MVP</x:v>
      </x:c>
      <x:c r="H33" s="22" t="str">
        <x:v>중급</x:v>
      </x:c>
      <x:c r="I33" s="22" t="str">
        <x:v>M03</x:v>
      </x:c>
      <x:c r="J33" s="22" t="str">
        <x:v>회원 03</x:v>
      </x:c>
      <x:c r="K33" s="22" t="str">
        <x:v>bundle-manifest.yaml</x:v>
      </x:c>
      <x:c r="L33" s="22" t="str">
        <x:v>M06</x:v>
      </x:c>
      <x:c r="M33" s="22" t="str">
        <x:v>P2 개발</x:v>
      </x:c>
      <x:c r="N33" s="22" t="str">
        <x:v>미착수</x:v>
      </x:c>
      <x:c r="O33" s="22" t="str">
        <x:v>회원 11</x:v>
      </x:c>
      <x:c r="P33" s="22" t="str">
        <x:v>Bundle Manifest 기능이 예시 시나리오에서 동작하고 테스트 증거가 저장됨</x:v>
      </x:c>
    </x:row>
    <x:row r="34">
      <x:c r="A34" s="25" t="str">
        <x:v>M03-F06</x:v>
      </x:c>
      <x:c r="B34" s="22" t="str">
        <x:v>배포</x:v>
      </x:c>
      <x:c r="C34" s="22" t="str">
        <x:v>무결성</x:v>
      </x:c>
      <x:c r="D34" s="22" t="str">
        <x:v>Checksum 생성</x:v>
      </x:c>
      <x:c r="E34" s="22" t="str">
        <x:v>모든 파일 SHA-256 기록</x:v>
      </x:c>
      <x:c r="F34" s="22" t="str">
        <x:v>반입 후 변조 여부 확인</x:v>
      </x:c>
      <x:c r="G34" s="22" t="str">
        <x:v>MVP</x:v>
      </x:c>
      <x:c r="H34" s="22" t="str">
        <x:v>중급</x:v>
      </x:c>
      <x:c r="I34" s="22" t="str">
        <x:v>M03</x:v>
      </x:c>
      <x:c r="J34" s="22" t="str">
        <x:v>회원 03</x:v>
      </x:c>
      <x:c r="K34" s="22" t="str">
        <x:v>checksums.sha256</x:v>
      </x:c>
      <x:c r="L34" s="22" t="str">
        <x:v>M11</x:v>
      </x:c>
      <x:c r="M34" s="22" t="str">
        <x:v>P2 개발</x:v>
      </x:c>
      <x:c r="N34" s="22" t="str">
        <x:v>미착수</x:v>
      </x:c>
      <x:c r="O34" s="22" t="str">
        <x:v>회원 11</x:v>
      </x:c>
      <x:c r="P34" s="22" t="str">
        <x:v>Checksum 생성 기능이 예시 시나리오에서 동작하고 테스트 증거가 저장됨</x:v>
      </x:c>
    </x:row>
    <x:row r="35">
      <x:c r="A35" s="25" t="str">
        <x:v>M03-F07</x:v>
      </x:c>
      <x:c r="B35" s="22" t="str">
        <x:v>배포</x:v>
      </x:c>
      <x:c r="C35" s="22" t="str">
        <x:v>환경</x:v>
      </x:c>
      <x:c r="D35" s="22" t="str">
        <x:v>Office Profile 포함</x:v>
      </x:c>
      <x:c r="E35" s="22" t="str">
        <x:v>사업장별 모델·MCP 설정 주입</x:v>
      </x:c>
      <x:c r="F35" s="22" t="str">
        <x:v>A사업장 Ollama와 MCP 주소 포함</x:v>
      </x:c>
      <x:c r="G35" s="22" t="str">
        <x:v>MVP</x:v>
      </x:c>
      <x:c r="H35" s="22" t="str">
        <x:v>중급</x:v>
      </x:c>
      <x:c r="I35" s="22" t="str">
        <x:v>M03</x:v>
      </x:c>
      <x:c r="J35" s="22" t="str">
        <x:v>회원 03</x:v>
      </x:c>
      <x:c r="K35" s="22" t="str">
        <x:v>Office Bundle</x:v>
      </x:c>
      <x:c r="L35" s="22" t="str">
        <x:v>M06</x:v>
      </x:c>
      <x:c r="M35" s="22" t="str">
        <x:v>P3 통합</x:v>
      </x:c>
      <x:c r="N35" s="22" t="str">
        <x:v>미착수</x:v>
      </x:c>
      <x:c r="O35" s="22" t="str">
        <x:v>회원 11</x:v>
      </x:c>
      <x:c r="P35" s="22" t="str">
        <x:v>Office Profile 포함 기능이 예시 시나리오에서 동작하고 테스트 증거가 저장됨</x:v>
      </x:c>
    </x:row>
    <x:row r="36">
      <x:c r="A36" s="25" t="str">
        <x:v>M03-F08</x:v>
      </x:c>
      <x:c r="B36" s="22" t="str">
        <x:v>배포</x:v>
      </x:c>
      <x:c r="C36" s="22" t="str">
        <x:v>가져오기</x:v>
      </x:c>
      <x:c r="D36" s="22" t="str">
        <x:v>Import 검증</x:v>
      </x:c>
      <x:c r="E36" s="22" t="str">
        <x:v>구조·버전·해시·서명 검사</x:v>
      </x:c>
      <x:c r="F36" s="22" t="str">
        <x:v>손상된 ZIP 설치 차단</x:v>
      </x:c>
      <x:c r="G36" s="22" t="str">
        <x:v>MVP</x:v>
      </x:c>
      <x:c r="H36" s="22" t="str">
        <x:v>고급</x:v>
      </x:c>
      <x:c r="I36" s="22" t="str">
        <x:v>M03</x:v>
      </x:c>
      <x:c r="J36" s="22" t="str">
        <x:v>회원 03</x:v>
      </x:c>
      <x:c r="K36" s="22" t="str">
        <x:v>Import Validator</x:v>
      </x:c>
      <x:c r="L36" s="22" t="str">
        <x:v>M11</x:v>
      </x:c>
      <x:c r="M36" s="22" t="str">
        <x:v>P3 통합</x:v>
      </x:c>
      <x:c r="N36" s="22" t="str">
        <x:v>미착수</x:v>
      </x:c>
      <x:c r="O36" s="22" t="str">
        <x:v>회원 11</x:v>
      </x:c>
      <x:c r="P36" s="22" t="str">
        <x:v>Import 검증 기능이 예시 시나리오에서 동작하고 테스트 증거가 저장됨</x:v>
      </x:c>
    </x:row>
    <x:row r="37">
      <x:c r="A37" s="25" t="str">
        <x:v>M03-F09</x:v>
      </x:c>
      <x:c r="B37" s="22" t="str">
        <x:v>배포</x:v>
      </x:c>
      <x:c r="C37" s="22" t="str">
        <x:v>설치</x:v>
      </x:c>
      <x:c r="D37" s="22" t="str">
        <x:v>일괄 설치 순서</x:v>
      </x:c>
      <x:c r="E37" s="22" t="str">
        <x:v>Runtime→RAG→Agent 순 설치</x:v>
      </x:c>
      <x:c r="F37" s="22" t="str">
        <x:v>의존성 순서대로 안전하게 설치</x:v>
      </x:c>
      <x:c r="G37" s="22" t="str">
        <x:v>MVP</x:v>
      </x:c>
      <x:c r="H37" s="22" t="str">
        <x:v>중급</x:v>
      </x:c>
      <x:c r="I37" s="22" t="str">
        <x:v>M03</x:v>
      </x:c>
      <x:c r="J37" s="22" t="str">
        <x:v>회원 03</x:v>
      </x:c>
      <x:c r="K37" s="22" t="str">
        <x:v>Install Plan</x:v>
      </x:c>
      <x:c r="L37" s="22" t="str">
        <x:v>M04</x:v>
      </x:c>
      <x:c r="M37" s="22" t="str">
        <x:v>P3 통합</x:v>
      </x:c>
      <x:c r="N37" s="22" t="str">
        <x:v>미착수</x:v>
      </x:c>
      <x:c r="O37" s="22" t="str">
        <x:v>회원 11</x:v>
      </x:c>
      <x:c r="P37" s="22" t="str">
        <x:v>일괄 설치 순서 기능이 예시 시나리오에서 동작하고 테스트 증거가 저장됨</x:v>
      </x:c>
    </x:row>
    <x:row r="38">
      <x:c r="A38" s="25" t="str">
        <x:v>M03-F10</x:v>
      </x:c>
      <x:c r="B38" s="22" t="str">
        <x:v>배포</x:v>
      </x:c>
      <x:c r="C38" s="22" t="str">
        <x:v>복구</x:v>
      </x:c>
      <x:c r="D38" s="22" t="str">
        <x:v>설치 Rollback</x:v>
      </x:c>
      <x:c r="E38" s="22" t="str">
        <x:v>부분 실패 시 이전 상태 복원</x:v>
      </x:c>
      <x:c r="F38" s="22" t="str">
        <x:v>RAG 설치 실패 후 Agent 미설치</x:v>
      </x:c>
      <x:c r="G38" s="22" t="str">
        <x:v>확장</x:v>
      </x:c>
      <x:c r="H38" s="22" t="str">
        <x:v>고급</x:v>
      </x:c>
      <x:c r="I38" s="22" t="str">
        <x:v>M03</x:v>
      </x:c>
      <x:c r="J38" s="22" t="str">
        <x:v>회원 03</x:v>
      </x:c>
      <x:c r="K38" s="22" t="str">
        <x:v>Rollback Handler</x:v>
      </x:c>
      <x:c r="L38" s="22" t="str">
        <x:v>M04</x:v>
      </x:c>
      <x:c r="M38" s="22" t="str">
        <x:v>P4 검증</x:v>
      </x:c>
      <x:c r="N38" s="22" t="str">
        <x:v>미착수</x:v>
      </x:c>
      <x:c r="O38" s="22" t="str">
        <x:v>회원 11</x:v>
      </x:c>
      <x:c r="P38" s="22" t="str">
        <x:v>설치 Rollback 기능이 예시 시나리오에서 동작하고 테스트 증거가 저장됨</x:v>
      </x:c>
    </x:row>
    <x:row r="39">
      <x:c r="A39" s="25" t="str">
        <x:v>M03-F11</x:v>
      </x:c>
      <x:c r="B39" s="22" t="str">
        <x:v>배포</x:v>
      </x:c>
      <x:c r="C39" s="22" t="str">
        <x:v>채널</x:v>
      </x:c>
      <x:c r="D39" s="22" t="str">
        <x:v>개발·테스트·운영</x:v>
      </x:c>
      <x:c r="E39" s="22" t="str">
        <x:v>배포 채널별 버전 분리</x:v>
      </x:c>
      <x:c r="F39" s="22" t="str">
        <x:v>테스트 채널에서 먼저 배포</x:v>
      </x:c>
      <x:c r="G39" s="22" t="str">
        <x:v>확장</x:v>
      </x:c>
      <x:c r="H39" s="22" t="str">
        <x:v>중급</x:v>
      </x:c>
      <x:c r="I39" s="22" t="str">
        <x:v>M03</x:v>
      </x:c>
      <x:c r="J39" s="22" t="str">
        <x:v>회원 03</x:v>
      </x:c>
      <x:c r="K39" s="22" t="str">
        <x:v>Channel Policy</x:v>
      </x:c>
      <x:c r="L39" s="22" t="str">
        <x:v>M02</x:v>
      </x:c>
      <x:c r="M39" s="22" t="str">
        <x:v>P4 검증</x:v>
      </x:c>
      <x:c r="N39" s="22" t="str">
        <x:v>미착수</x:v>
      </x:c>
      <x:c r="O39" s="22" t="str">
        <x:v>회원 11</x:v>
      </x:c>
      <x:c r="P39" s="22" t="str">
        <x:v>개발·테스트·운영 기능이 예시 시나리오에서 동작하고 테스트 증거가 저장됨</x:v>
      </x:c>
    </x:row>
    <x:row r="40">
      <x:c r="A40" s="25" t="str">
        <x:v>M03-F12</x:v>
      </x:c>
      <x:c r="B40" s="22" t="str">
        <x:v>배포</x:v>
      </x:c>
      <x:c r="C40" s="22" t="str">
        <x:v>회수</x:v>
      </x:c>
      <x:c r="D40" s="22" t="str">
        <x:v>Revocation 조회</x:v>
      </x:c>
      <x:c r="E40" s="22" t="str">
        <x:v>차단된 버전 설치 방지</x:v>
      </x:c>
      <x:c r="F40" s="22" t="str">
        <x:v>보안 사고 Agent 실행 차단</x:v>
      </x:c>
      <x:c r="G40" s="22" t="str">
        <x:v>확장</x:v>
      </x:c>
      <x:c r="H40" s="22" t="str">
        <x:v>고급</x:v>
      </x:c>
      <x:c r="I40" s="22" t="str">
        <x:v>M03</x:v>
      </x:c>
      <x:c r="J40" s="22" t="str">
        <x:v>회원 03</x:v>
      </x:c>
      <x:c r="K40" s="22" t="str">
        <x:v>Revocation Check</x:v>
      </x:c>
      <x:c r="L40" s="22" t="str">
        <x:v>M11</x:v>
      </x:c>
      <x:c r="M40" s="22" t="str">
        <x:v>P4 검증</x:v>
      </x:c>
      <x:c r="N40" s="22" t="str">
        <x:v>미착수</x:v>
      </x:c>
      <x:c r="O40" s="22" t="str">
        <x:v>회원 11</x:v>
      </x:c>
      <x:c r="P40" s="22" t="str">
        <x:v>Revocation 조회 기능이 예시 시나리오에서 동작하고 테스트 증거가 저장됨</x:v>
      </x:c>
    </x:row>
    <x:row r="41">
      <x:c r="A41" s="25" t="str">
        <x:v>M04-F01</x:v>
      </x:c>
      <x:c r="B41" s="22" t="str">
        <x:v>클라이언트</x:v>
      </x:c>
      <x:c r="C41" s="22" t="str">
        <x:v>공통 UI</x:v>
      </x:c>
      <x:c r="D41" s="22" t="str">
        <x:v>Desktop Shell</x:v>
      </x:c>
      <x:c r="E41" s="22" t="str">
        <x:v>Windows 앱 내비게이션과 화면 틀</x:v>
      </x:c>
      <x:c r="F41" s="22" t="str">
        <x:v>Agent·자산·설정·로그 화면 이동</x:v>
      </x:c>
      <x:c r="G41" s="22" t="str">
        <x:v>MVP</x:v>
      </x:c>
      <x:c r="H41" s="22" t="str">
        <x:v>중급</x:v>
      </x:c>
      <x:c r="I41" s="22" t="str">
        <x:v>M04</x:v>
      </x:c>
      <x:c r="J41" s="22" t="str">
        <x:v>회원 04</x:v>
      </x:c>
      <x:c r="K41" s="22" t="str">
        <x:v>PySide6 Shell</x:v>
      </x:c>
      <x:c r="L41" s="22" t="str">
        <x:v>M06</x:v>
      </x:c>
      <x:c r="M41" s="22" t="str">
        <x:v>P1 설계</x:v>
      </x:c>
      <x:c r="N41" s="22" t="str">
        <x:v>미착수</x:v>
      </x:c>
      <x:c r="O41" s="22" t="str">
        <x:v>회원 05</x:v>
      </x:c>
      <x:c r="P41" s="22" t="str">
        <x:v>Desktop Shell 기능이 예시 시나리오에서 동작하고 테스트 증거가 저장됨</x:v>
      </x:c>
    </x:row>
    <x:row r="42">
      <x:c r="A42" s="25" t="str">
        <x:v>M04-F02</x:v>
      </x:c>
      <x:c r="B42" s="22" t="str">
        <x:v>클라이언트</x:v>
      </x:c>
      <x:c r="C42" s="22" t="str">
        <x:v>Agent</x:v>
      </x:c>
      <x:c r="D42" s="22" t="str">
        <x:v>설치 목록</x:v>
      </x:c>
      <x:c r="E42" s="22" t="str">
        <x:v>설치된 Agent와 버전 표시</x:v>
      </x:c>
      <x:c r="F42" s="22" t="str">
        <x:v>SQL 분석 Agent 1.2 설치 확인</x:v>
      </x:c>
      <x:c r="G42" s="22" t="str">
        <x:v>MVP</x:v>
      </x:c>
      <x:c r="H42" s="22" t="str">
        <x:v>중급</x:v>
      </x:c>
      <x:c r="I42" s="22" t="str">
        <x:v>M04</x:v>
      </x:c>
      <x:c r="J42" s="22" t="str">
        <x:v>회원 04</x:v>
      </x:c>
      <x:c r="K42" s="22" t="str">
        <x:v>Agent Manager</x:v>
      </x:c>
      <x:c r="L42" s="22" t="str">
        <x:v>M05</x:v>
      </x:c>
      <x:c r="M42" s="22" t="str">
        <x:v>P2 개발</x:v>
      </x:c>
      <x:c r="N42" s="22" t="str">
        <x:v>미착수</x:v>
      </x:c>
      <x:c r="O42" s="22" t="str">
        <x:v>회원 05</x:v>
      </x:c>
      <x:c r="P42" s="22" t="str">
        <x:v>설치 목록 기능이 예시 시나리오에서 동작하고 테스트 증거가 저장됨</x:v>
      </x:c>
    </x:row>
    <x:row r="43">
      <x:c r="A43" s="25" t="str">
        <x:v>M04-F03</x:v>
      </x:c>
      <x:c r="B43" s="22" t="str">
        <x:v>클라이언트</x:v>
      </x:c>
      <x:c r="C43" s="22" t="str">
        <x:v>대화</x:v>
      </x:c>
      <x:c r="D43" s="22" t="str">
        <x:v>채팅·스트리밍</x:v>
      </x:c>
      <x:c r="E43" s="22" t="str">
        <x:v>질문과 단계별 응답 표시</x:v>
      </x:c>
      <x:c r="F43" s="22" t="str">
        <x:v>검색 중·Tool 실행 중 상태 표시</x:v>
      </x:c>
      <x:c r="G43" s="22" t="str">
        <x:v>MVP</x:v>
      </x:c>
      <x:c r="H43" s="22" t="str">
        <x:v>중급</x:v>
      </x:c>
      <x:c r="I43" s="22" t="str">
        <x:v>M04</x:v>
      </x:c>
      <x:c r="J43" s="22" t="str">
        <x:v>회원 04</x:v>
      </x:c>
      <x:c r="K43" s="22" t="str">
        <x:v>Chat UI</x:v>
      </x:c>
      <x:c r="L43" s="22" t="str">
        <x:v>M05</x:v>
      </x:c>
      <x:c r="M43" s="22" t="str">
        <x:v>P2 개발</x:v>
      </x:c>
      <x:c r="N43" s="22" t="str">
        <x:v>미착수</x:v>
      </x:c>
      <x:c r="O43" s="22" t="str">
        <x:v>회원 05</x:v>
      </x:c>
      <x:c r="P43" s="22" t="str">
        <x:v>채팅·스트리밍 기능이 예시 시나리오에서 동작하고 테스트 증거가 저장됨</x:v>
      </x:c>
    </x:row>
    <x:row r="44">
      <x:c r="A44" s="25" t="str">
        <x:v>M04-F04</x:v>
      </x:c>
      <x:c r="B44" s="22" t="str">
        <x:v>클라이언트</x:v>
      </x:c>
      <x:c r="C44" s="22" t="str">
        <x:v>패키지</x:v>
      </x:c>
      <x:c r="D44" s="22" t="str">
        <x:v>ZIP 가져오기</x:v>
      </x:c>
      <x:c r="E44" s="22" t="str">
        <x:v>오프라인 Bundle 선택·설치</x:v>
      </x:c>
      <x:c r="F44" s="22" t="str">
        <x:v>승인된 USB 반입 ZIP 설치</x:v>
      </x:c>
      <x:c r="G44" s="22" t="str">
        <x:v>MVP</x:v>
      </x:c>
      <x:c r="H44" s="22" t="str">
        <x:v>중급</x:v>
      </x:c>
      <x:c r="I44" s="22" t="str">
        <x:v>M04</x:v>
      </x:c>
      <x:c r="J44" s="22" t="str">
        <x:v>회원 04</x:v>
      </x:c>
      <x:c r="K44" s="22" t="str">
        <x:v>Import UI</x:v>
      </x:c>
      <x:c r="L44" s="22" t="str">
        <x:v>M03</x:v>
      </x:c>
      <x:c r="M44" s="22" t="str">
        <x:v>P2 개발</x:v>
      </x:c>
      <x:c r="N44" s="22" t="str">
        <x:v>미착수</x:v>
      </x:c>
      <x:c r="O44" s="22" t="str">
        <x:v>회원 05</x:v>
      </x:c>
      <x:c r="P44" s="22" t="str">
        <x:v>ZIP 가져오기 기능이 예시 시나리오에서 동작하고 테스트 증거가 저장됨</x:v>
      </x:c>
    </x:row>
    <x:row r="45">
      <x:c r="A45" s="25" t="str">
        <x:v>M04-F05</x:v>
      </x:c>
      <x:c r="B45" s="22" t="str">
        <x:v>클라이언트</x:v>
      </x:c>
      <x:c r="C45" s="22" t="str">
        <x:v>패키지</x:v>
      </x:c>
      <x:c r="D45" s="22" t="str">
        <x:v>무결성 확인</x:v>
      </x:c>
      <x:c r="E45" s="22" t="str">
        <x:v>Manifest·Checksum·서명 검사 결과 표시</x:v>
      </x:c>
      <x:c r="F45" s="22" t="str">
        <x:v>변조 파일 설치 거부</x:v>
      </x:c>
      <x:c r="G45" s="22" t="str">
        <x:v>MVP</x:v>
      </x:c>
      <x:c r="H45" s="22" t="str">
        <x:v>중급</x:v>
      </x:c>
      <x:c r="I45" s="22" t="str">
        <x:v>M04</x:v>
      </x:c>
      <x:c r="J45" s="22" t="str">
        <x:v>회원 04</x:v>
      </x:c>
      <x:c r="K45" s="22" t="str">
        <x:v>Verification UI</x:v>
      </x:c>
      <x:c r="L45" s="22" t="str">
        <x:v>M03,M11</x:v>
      </x:c>
      <x:c r="M45" s="22" t="str">
        <x:v>P3 통합</x:v>
      </x:c>
      <x:c r="N45" s="22" t="str">
        <x:v>미착수</x:v>
      </x:c>
      <x:c r="O45" s="22" t="str">
        <x:v>회원 05</x:v>
      </x:c>
      <x:c r="P45" s="22" t="str">
        <x:v>무결성 확인 기능이 예시 시나리오에서 동작하고 테스트 증거가 저장됨</x:v>
      </x:c>
    </x:row>
    <x:row r="46">
      <x:c r="A46" s="25" t="str">
        <x:v>M04-F06</x:v>
      </x:c>
      <x:c r="B46" s="22" t="str">
        <x:v>클라이언트</x:v>
      </x:c>
      <x:c r="C46" s="22" t="str">
        <x:v>진단</x:v>
      </x:c>
      <x:c r="D46" s="22" t="str">
        <x:v>의존성 사전점검</x:v>
      </x:c>
      <x:c r="E46" s="22" t="str">
        <x:v>모델·RAG·MCP·Runtime 확인</x:v>
      </x:c>
      <x:c r="F46" s="22" t="str">
        <x:v>필수 Ollama 모델 미설치 안내</x:v>
      </x:c>
      <x:c r="G46" s="22" t="str">
        <x:v>MVP</x:v>
      </x:c>
      <x:c r="H46" s="22" t="str">
        <x:v>중급</x:v>
      </x:c>
      <x:c r="I46" s="22" t="str">
        <x:v>M04</x:v>
      </x:c>
      <x:c r="J46" s="22" t="str">
        <x:v>회원 04</x:v>
      </x:c>
      <x:c r="K46" s="22" t="str">
        <x:v>Preflight Check</x:v>
      </x:c>
      <x:c r="L46" s="22" t="str">
        <x:v>M05,M06</x:v>
      </x:c>
      <x:c r="M46" s="22" t="str">
        <x:v>P3 통합</x:v>
      </x:c>
      <x:c r="N46" s="22" t="str">
        <x:v>미착수</x:v>
      </x:c>
      <x:c r="O46" s="22" t="str">
        <x:v>회원 05</x:v>
      </x:c>
      <x:c r="P46" s="22" t="str">
        <x:v>의존성 사전점검 기능이 예시 시나리오에서 동작하고 테스트 증거가 저장됨</x:v>
      </x:c>
    </x:row>
    <x:row r="47">
      <x:c r="A47" s="25" t="str">
        <x:v>M04-F07</x:v>
      </x:c>
      <x:c r="B47" s="22" t="str">
        <x:v>클라이언트</x:v>
      </x:c>
      <x:c r="C47" s="22" t="str">
        <x:v>상태</x:v>
      </x:c>
      <x:c r="D47" s="22" t="str">
        <x:v>연결 상태</x:v>
      </x:c>
      <x:c r="E47" s="22" t="str">
        <x:v>Ollama·RAG·MCP 상태 표시</x:v>
      </x:c>
      <x:c r="F47" s="22" t="str">
        <x:v>MCP 연결 실패와 조치 방법 표시</x:v>
      </x:c>
      <x:c r="G47" s="22" t="str">
        <x:v>MVP</x:v>
      </x:c>
      <x:c r="H47" s="22" t="str">
        <x:v>초중급</x:v>
      </x:c>
      <x:c r="I47" s="22" t="str">
        <x:v>M04</x:v>
      </x:c>
      <x:c r="J47" s="22" t="str">
        <x:v>회원 04</x:v>
      </x:c>
      <x:c r="K47" s="22" t="str">
        <x:v>Status Panel</x:v>
      </x:c>
      <x:c r="L47" s="22" t="str">
        <x:v>M05,M10</x:v>
      </x:c>
      <x:c r="M47" s="22" t="str">
        <x:v>P3 통합</x:v>
      </x:c>
      <x:c r="N47" s="22" t="str">
        <x:v>미착수</x:v>
      </x:c>
      <x:c r="O47" s="22" t="str">
        <x:v>회원 05</x:v>
      </x:c>
      <x:c r="P47" s="22" t="str">
        <x:v>연결 상태 기능이 예시 시나리오에서 동작하고 테스트 증거가 저장됨</x:v>
      </x:c>
    </x:row>
    <x:row r="48">
      <x:c r="A48" s="25" t="str">
        <x:v>M04-F08</x:v>
      </x:c>
      <x:c r="B48" s="22" t="str">
        <x:v>클라이언트</x:v>
      </x:c>
      <x:c r="C48" s="22" t="str">
        <x:v>설정</x:v>
      </x:c>
      <x:c r="D48" s="22" t="str">
        <x:v>Office Profile</x:v>
      </x:c>
      <x:c r="E48" s="22" t="str">
        <x:v>사업장 설정 선택·적용</x:v>
      </x:c>
      <x:c r="F48" s="22" t="str">
        <x:v>A사업장 Profile로 MCP 주소 변경</x:v>
      </x:c>
      <x:c r="G48" s="22" t="str">
        <x:v>MVP</x:v>
      </x:c>
      <x:c r="H48" s="22" t="str">
        <x:v>중급</x:v>
      </x:c>
      <x:c r="I48" s="22" t="str">
        <x:v>M04</x:v>
      </x:c>
      <x:c r="J48" s="22" t="str">
        <x:v>회원 04</x:v>
      </x:c>
      <x:c r="K48" s="22" t="str">
        <x:v>Settings UI</x:v>
      </x:c>
      <x:c r="L48" s="22" t="str">
        <x:v>M06</x:v>
      </x:c>
      <x:c r="M48" s="22" t="str">
        <x:v>P2 개발</x:v>
      </x:c>
      <x:c r="N48" s="22" t="str">
        <x:v>미착수</x:v>
      </x:c>
      <x:c r="O48" s="22" t="str">
        <x:v>회원 05</x:v>
      </x:c>
      <x:c r="P48" s="22" t="str">
        <x:v>Office Profile 기능이 예시 시나리오에서 동작하고 테스트 증거가 저장됨</x:v>
      </x:c>
    </x:row>
    <x:row r="49">
      <x:c r="A49" s="25" t="str">
        <x:v>M04-F09</x:v>
      </x:c>
      <x:c r="B49" s="22" t="str">
        <x:v>클라이언트</x:v>
      </x:c>
      <x:c r="C49" s="22" t="str">
        <x:v>실행</x:v>
      </x:c>
      <x:c r="D49" s="22" t="str">
        <x:v>취소·재시도</x:v>
      </x:c>
      <x:c r="E49" s="22" t="str">
        <x:v>긴 실행 중단과 안전한 재시도</x:v>
      </x:c>
      <x:c r="F49" s="22" t="str">
        <x:v>LLM 응답 지연 시 취소</x:v>
      </x:c>
      <x:c r="G49" s="22" t="str">
        <x:v>MVP</x:v>
      </x:c>
      <x:c r="H49" s="22" t="str">
        <x:v>중급</x:v>
      </x:c>
      <x:c r="I49" s="22" t="str">
        <x:v>M04</x:v>
      </x:c>
      <x:c r="J49" s="22" t="str">
        <x:v>회원 04</x:v>
      </x:c>
      <x:c r="K49" s="22" t="str">
        <x:v>Run Control</x:v>
      </x:c>
      <x:c r="L49" s="22" t="str">
        <x:v>M05</x:v>
      </x:c>
      <x:c r="M49" s="22" t="str">
        <x:v>P3 통합</x:v>
      </x:c>
      <x:c r="N49" s="22" t="str">
        <x:v>미착수</x:v>
      </x:c>
      <x:c r="O49" s="22" t="str">
        <x:v>회원 05</x:v>
      </x:c>
      <x:c r="P49" s="22" t="str">
        <x:v>취소·재시도 기능이 예시 시나리오에서 동작하고 테스트 증거가 저장됨</x:v>
      </x:c>
    </x:row>
    <x:row r="50">
      <x:c r="A50" s="25" t="str">
        <x:v>M04-F10</x:v>
      </x:c>
      <x:c r="B50" s="22" t="str">
        <x:v>클라이언트</x:v>
      </x:c>
      <x:c r="C50" s="22" t="str">
        <x:v>로그</x:v>
      </x:c>
      <x:c r="D50" s="22" t="str">
        <x:v>실행 기록</x:v>
      </x:c>
      <x:c r="E50" s="22" t="str">
        <x:v>질문·상태·오류 기록 조회</x:v>
      </x:c>
      <x:c r="F50" s="22" t="str">
        <x:v>실패 실행의 Trace ID 확인</x:v>
      </x:c>
      <x:c r="G50" s="22" t="str">
        <x:v>MVP</x:v>
      </x:c>
      <x:c r="H50" s="22" t="str">
        <x:v>중급</x:v>
      </x:c>
      <x:c r="I50" s="22" t="str">
        <x:v>M04</x:v>
      </x:c>
      <x:c r="J50" s="22" t="str">
        <x:v>회원 04</x:v>
      </x:c>
      <x:c r="K50" s="22" t="str">
        <x:v>Log Viewer</x:v>
      </x:c>
      <x:c r="L50" s="22" t="str">
        <x:v>M05,M11</x:v>
      </x:c>
      <x:c r="M50" s="22" t="str">
        <x:v>P3 통합</x:v>
      </x:c>
      <x:c r="N50" s="22" t="str">
        <x:v>미착수</x:v>
      </x:c>
      <x:c r="O50" s="22" t="str">
        <x:v>회원 05</x:v>
      </x:c>
      <x:c r="P50" s="22" t="str">
        <x:v>실행 기록 기능이 예시 시나리오에서 동작하고 테스트 증거가 저장됨</x:v>
      </x:c>
    </x:row>
    <x:row r="51">
      <x:c r="A51" s="25" t="str">
        <x:v>M04-F11</x:v>
      </x:c>
      <x:c r="B51" s="22" t="str">
        <x:v>클라이언트</x:v>
      </x:c>
      <x:c r="C51" s="22" t="str">
        <x:v>결과</x:v>
      </x:c>
      <x:c r="D51" s="22" t="str">
        <x:v>출처·내보내기</x:v>
      </x:c>
      <x:c r="E51" s="22" t="str">
        <x:v>근거 문서와 답변 저장</x:v>
      </x:c>
      <x:c r="F51" s="22" t="str">
        <x:v>답변을 Markdown 보고서로 저장</x:v>
      </x:c>
      <x:c r="G51" s="22" t="str">
        <x:v>확장</x:v>
      </x:c>
      <x:c r="H51" s="22" t="str">
        <x:v>초중급</x:v>
      </x:c>
      <x:c r="I51" s="22" t="str">
        <x:v>M04</x:v>
      </x:c>
      <x:c r="J51" s="22" t="str">
        <x:v>회원 04</x:v>
      </x:c>
      <x:c r="K51" s="22" t="str">
        <x:v>Result Export</x:v>
      </x:c>
      <x:c r="L51" s="22" t="str">
        <x:v>M05,M08</x:v>
      </x:c>
      <x:c r="M51" s="22" t="str">
        <x:v>P4 검증</x:v>
      </x:c>
      <x:c r="N51" s="22" t="str">
        <x:v>미착수</x:v>
      </x:c>
      <x:c r="O51" s="22" t="str">
        <x:v>회원 05</x:v>
      </x:c>
      <x:c r="P51" s="22" t="str">
        <x:v>출처·내보내기 기능이 예시 시나리오에서 동작하고 테스트 증거가 저장됨</x:v>
      </x:c>
    </x:row>
    <x:row r="52">
      <x:c r="A52" s="25" t="str">
        <x:v>M04-F12</x:v>
      </x:c>
      <x:c r="B52" s="22" t="str">
        <x:v>클라이언트</x:v>
      </x:c>
      <x:c r="C52" s="22" t="str">
        <x:v>배포</x:v>
      </x:c>
      <x:c r="D52" s="22" t="str">
        <x:v>설치 패키징</x:v>
      </x:c>
      <x:c r="E52" s="22" t="str">
        <x:v>Python 런타임 포함 Windows 배포</x:v>
      </x:c>
      <x:c r="F52" s="22" t="str">
        <x:v>폐쇄망 PC에서 설치 파일 실행</x:v>
      </x:c>
      <x:c r="G52" s="22" t="str">
        <x:v>MVP</x:v>
      </x:c>
      <x:c r="H52" s="22" t="str">
        <x:v>고급</x:v>
      </x:c>
      <x:c r="I52" s="22" t="str">
        <x:v>M04</x:v>
      </x:c>
      <x:c r="J52" s="22" t="str">
        <x:v>회원 04</x:v>
      </x:c>
      <x:c r="K52" s="22" t="str">
        <x:v>Windows Installer</x:v>
      </x:c>
      <x:c r="L52" s="22" t="str">
        <x:v>M12</x:v>
      </x:c>
      <x:c r="M52" s="22" t="str">
        <x:v>P4 검증</x:v>
      </x:c>
      <x:c r="N52" s="22" t="str">
        <x:v>미착수</x:v>
      </x:c>
      <x:c r="O52" s="22" t="str">
        <x:v>회원 05</x:v>
      </x:c>
      <x:c r="P52" s="22" t="str">
        <x:v>설치 패키징 기능이 예시 시나리오에서 동작하고 테스트 증거가 저장됨</x:v>
      </x:c>
    </x:row>
    <x:row r="53">
      <x:c r="A53" s="25" t="str">
        <x:v>M05-F01</x:v>
      </x:c>
      <x:c r="B53" s="22" t="str">
        <x:v>Agent Runtime</x:v>
      </x:c>
      <x:c r="C53" s="22" t="str">
        <x:v>패키지</x:v>
      </x:c>
      <x:c r="D53" s="22" t="str">
        <x:v>Manifest Loader</x:v>
      </x:c>
      <x:c r="E53" s="22" t="str">
        <x:v>Agent Package 규격 검증·로딩</x:v>
      </x:c>
      <x:c r="F53" s="22" t="str">
        <x:v>entrypoint와 의존성 읽기</x:v>
      </x:c>
      <x:c r="G53" s="22" t="str">
        <x:v>MVP</x:v>
      </x:c>
      <x:c r="H53" s="22" t="str">
        <x:v>고급</x:v>
      </x:c>
      <x:c r="I53" s="22" t="str">
        <x:v>M05</x:v>
      </x:c>
      <x:c r="J53" s="22" t="str">
        <x:v>회원 05</x:v>
      </x:c>
      <x:c r="K53" s="22" t="str">
        <x:v>Package Loader</x:v>
      </x:c>
      <x:c r="L53" s="22" t="str">
        <x:v>M06</x:v>
      </x:c>
      <x:c r="M53" s="22" t="str">
        <x:v>P1 설계</x:v>
      </x:c>
      <x:c r="N53" s="22" t="str">
        <x:v>미착수</x:v>
      </x:c>
      <x:c r="O53" s="22" t="str">
        <x:v>회원 02</x:v>
      </x:c>
      <x:c r="P53" s="22" t="str">
        <x:v>Manifest Loader 기능이 예시 시나리오에서 동작하고 테스트 증거가 저장됨</x:v>
      </x:c>
    </x:row>
    <x:row r="54">
      <x:c r="A54" s="25" t="str">
        <x:v>M05-F02</x:v>
      </x:c>
      <x:c r="B54" s="22" t="str">
        <x:v>Agent Runtime</x:v>
      </x:c>
      <x:c r="C54" s="22" t="str">
        <x:v>Workflow</x:v>
      </x:c>
      <x:c r="D54" s="22" t="str">
        <x:v>실행 엔진</x:v>
      </x:c>
      <x:c r="E54" s="22" t="str">
        <x:v>노드·분기·상태 기반 실행</x:v>
      </x:c>
      <x:c r="F54" s="22" t="str">
        <x:v>분석→검색→Tool→답변 순 실행</x:v>
      </x:c>
      <x:c r="G54" s="22" t="str">
        <x:v>MVP</x:v>
      </x:c>
      <x:c r="H54" s="22" t="str">
        <x:v>고급</x:v>
      </x:c>
      <x:c r="I54" s="22" t="str">
        <x:v>M05</x:v>
      </x:c>
      <x:c r="J54" s="22" t="str">
        <x:v>회원 05</x:v>
      </x:c>
      <x:c r="K54" s="22" t="str">
        <x:v>Workflow Engine</x:v>
      </x:c>
      <x:c r="L54" s="22" t="str">
        <x:v>M06</x:v>
      </x:c>
      <x:c r="M54" s="22" t="str">
        <x:v>P2 개발</x:v>
      </x:c>
      <x:c r="N54" s="22" t="str">
        <x:v>미착수</x:v>
      </x:c>
      <x:c r="O54" s="22" t="str">
        <x:v>회원 02</x:v>
      </x:c>
      <x:c r="P54" s="22" t="str">
        <x:v>실행 엔진 기능이 예시 시나리오에서 동작하고 테스트 증거가 저장됨</x:v>
      </x:c>
    </x:row>
    <x:row r="55">
      <x:c r="A55" s="25" t="str">
        <x:v>M05-F03</x:v>
      </x:c>
      <x:c r="B55" s="22" t="str">
        <x:v>Agent Runtime</x:v>
      </x:c>
      <x:c r="C55" s="22" t="str">
        <x:v>상태</x:v>
      </x:c>
      <x:c r="D55" s="22" t="str">
        <x:v>Context 관리</x:v>
      </x:c>
      <x:c r="E55" s="22" t="str">
        <x:v>노드 간 질문·검색·Tool 결과 전달</x:v>
      </x:c>
      <x:c r="F55" s="22" t="str">
        <x:v>RAG 출처를 답변 단계에 전달</x:v>
      </x:c>
      <x:c r="G55" s="22" t="str">
        <x:v>MVP</x:v>
      </x:c>
      <x:c r="H55" s="22" t="str">
        <x:v>고급</x:v>
      </x:c>
      <x:c r="I55" s="22" t="str">
        <x:v>M05</x:v>
      </x:c>
      <x:c r="J55" s="22" t="str">
        <x:v>회원 05</x:v>
      </x:c>
      <x:c r="K55" s="22" t="str">
        <x:v>Agent Context</x:v>
      </x:c>
      <x:c r="L55" s="22" t="str">
        <x:v>M06</x:v>
      </x:c>
      <x:c r="M55" s="22" t="str">
        <x:v>P2 개발</x:v>
      </x:c>
      <x:c r="N55" s="22" t="str">
        <x:v>미착수</x:v>
      </x:c>
      <x:c r="O55" s="22" t="str">
        <x:v>회원 02</x:v>
      </x:c>
      <x:c r="P55" s="22" t="str">
        <x:v>Context 관리 기능이 예시 시나리오에서 동작하고 테스트 증거가 저장됨</x:v>
      </x:c>
    </x:row>
    <x:row r="56">
      <x:c r="A56" s="25" t="str">
        <x:v>M05-F04</x:v>
      </x:c>
      <x:c r="B56" s="22" t="str">
        <x:v>Agent Runtime</x:v>
      </x:c>
      <x:c r="C56" s="22" t="str">
        <x:v>LLM</x:v>
      </x:c>
      <x:c r="D56" s="22" t="str">
        <x:v>Ollama Adapter</x:v>
      </x:c>
      <x:c r="E56" s="22" t="str">
        <x:v>Chat·Embedding 로컬 모델 호출</x:v>
      </x:c>
      <x:c r="F56" s="22" t="str">
        <x:v>EXAONE으로 답변 생성</x:v>
      </x:c>
      <x:c r="G56" s="22" t="str">
        <x:v>MVP</x:v>
      </x:c>
      <x:c r="H56" s="22" t="str">
        <x:v>고급</x:v>
      </x:c>
      <x:c r="I56" s="22" t="str">
        <x:v>M05</x:v>
      </x:c>
      <x:c r="J56" s="22" t="str">
        <x:v>회원 05</x:v>
      </x:c>
      <x:c r="K56" s="22" t="str">
        <x:v>Ollama Adapter</x:v>
      </x:c>
      <x:c r="L56" s="22" t="str">
        <x:v>M06</x:v>
      </x:c>
      <x:c r="M56" s="22" t="str">
        <x:v>P2 개발</x:v>
      </x:c>
      <x:c r="N56" s="22" t="str">
        <x:v>미착수</x:v>
      </x:c>
      <x:c r="O56" s="22" t="str">
        <x:v>회원 02</x:v>
      </x:c>
      <x:c r="P56" s="22" t="str">
        <x:v>Ollama Adapter 기능이 예시 시나리오에서 동작하고 테스트 증거가 저장됨</x:v>
      </x:c>
    </x:row>
    <x:row r="57">
      <x:c r="A57" s="25" t="str">
        <x:v>M05-F05</x:v>
      </x:c>
      <x:c r="B57" s="22" t="str">
        <x:v>Agent Runtime</x:v>
      </x:c>
      <x:c r="C57" s="22" t="str">
        <x:v>LLM</x:v>
      </x:c>
      <x:c r="D57" s="22" t="str">
        <x:v>Frontier Adapter</x:v>
      </x:c>
      <x:c r="E57" s="22" t="str">
        <x:v>승인 외부 모델 공통 인터페이스</x:v>
      </x:c>
      <x:c r="F57" s="22" t="str">
        <x:v>일반망에서는 회사 승인 모델 사용</x:v>
      </x:c>
      <x:c r="G57" s="22" t="str">
        <x:v>확장</x:v>
      </x:c>
      <x:c r="H57" s="22" t="str">
        <x:v>고급</x:v>
      </x:c>
      <x:c r="I57" s="22" t="str">
        <x:v>M05</x:v>
      </x:c>
      <x:c r="J57" s="22" t="str">
        <x:v>회원 05</x:v>
      </x:c>
      <x:c r="K57" s="22" t="str">
        <x:v>Frontier Adapter</x:v>
      </x:c>
      <x:c r="L57" s="22" t="str">
        <x:v>M11</x:v>
      </x:c>
      <x:c r="M57" s="22" t="str">
        <x:v>P4 검증</x:v>
      </x:c>
      <x:c r="N57" s="22" t="str">
        <x:v>미착수</x:v>
      </x:c>
      <x:c r="O57" s="22" t="str">
        <x:v>회원 02</x:v>
      </x:c>
      <x:c r="P57" s="22" t="str">
        <x:v>Frontier Adapter 기능이 예시 시나리오에서 동작하고 테스트 증거가 저장됨</x:v>
      </x:c>
    </x:row>
    <x:row r="58">
      <x:c r="A58" s="25" t="str">
        <x:v>M05-F06</x:v>
      </x:c>
      <x:c r="B58" s="22" t="str">
        <x:v>Agent Runtime</x:v>
      </x:c>
      <x:c r="C58" s="22" t="str">
        <x:v>RAG</x:v>
      </x:c>
      <x:c r="D58" s="22" t="str">
        <x:v>Search Client</x:v>
      </x:c>
      <x:c r="E58" s="22" t="str">
        <x:v>Retrieval Profile 기반 검색 호출</x:v>
      </x:c>
      <x:c r="F58" s="22" t="str">
        <x:v>Hybrid 검색 결과와 Citation 수신</x:v>
      </x:c>
      <x:c r="G58" s="22" t="str">
        <x:v>MVP</x:v>
      </x:c>
      <x:c r="H58" s="22" t="str">
        <x:v>고급</x:v>
      </x:c>
      <x:c r="I58" s="22" t="str">
        <x:v>M05</x:v>
      </x:c>
      <x:c r="J58" s="22" t="str">
        <x:v>회원 05</x:v>
      </x:c>
      <x:c r="K58" s="22" t="str">
        <x:v>RAG Client</x:v>
      </x:c>
      <x:c r="L58" s="22" t="str">
        <x:v>M08</x:v>
      </x:c>
      <x:c r="M58" s="22" t="str">
        <x:v>P3 통합</x:v>
      </x:c>
      <x:c r="N58" s="22" t="str">
        <x:v>미착수</x:v>
      </x:c>
      <x:c r="O58" s="22" t="str">
        <x:v>회원 02</x:v>
      </x:c>
      <x:c r="P58" s="22" t="str">
        <x:v>Search Client 기능이 예시 시나리오에서 동작하고 테스트 증거가 저장됨</x:v>
      </x:c>
    </x:row>
    <x:row r="59">
      <x:c r="A59" s="25" t="str">
        <x:v>M05-F07</x:v>
      </x:c>
      <x:c r="B59" s="22" t="str">
        <x:v>Agent Runtime</x:v>
      </x:c>
      <x:c r="C59" s="22" t="str">
        <x:v>MCP</x:v>
      </x:c>
      <x:c r="D59" s="22" t="str">
        <x:v>MCP Client</x:v>
      </x:c>
      <x:c r="E59" s="22" t="str">
        <x:v>Tool 발견·Schema 확인·호출</x:v>
      </x:c>
      <x:c r="F59" s="22" t="str">
        <x:v>db_metadata.get_columns 실행</x:v>
      </x:c>
      <x:c r="G59" s="22" t="str">
        <x:v>MVP</x:v>
      </x:c>
      <x:c r="H59" s="22" t="str">
        <x:v>고급</x:v>
      </x:c>
      <x:c r="I59" s="22" t="str">
        <x:v>M05</x:v>
      </x:c>
      <x:c r="J59" s="22" t="str">
        <x:v>회원 05</x:v>
      </x:c>
      <x:c r="K59" s="22" t="str">
        <x:v>MCP Client</x:v>
      </x:c>
      <x:c r="L59" s="22" t="str">
        <x:v>M10</x:v>
      </x:c>
      <x:c r="M59" s="22" t="str">
        <x:v>P3 통합</x:v>
      </x:c>
      <x:c r="N59" s="22" t="str">
        <x:v>미착수</x:v>
      </x:c>
      <x:c r="O59" s="22" t="str">
        <x:v>회원 02</x:v>
      </x:c>
      <x:c r="P59" s="22" t="str">
        <x:v>MCP Client 기능이 예시 시나리오에서 동작하고 테스트 증거가 저장됨</x:v>
      </x:c>
    </x:row>
    <x:row r="60">
      <x:c r="A60" s="25" t="str">
        <x:v>M05-F08</x:v>
      </x:c>
      <x:c r="B60" s="22" t="str">
        <x:v>Agent Runtime</x:v>
      </x:c>
      <x:c r="C60" s="22" t="str">
        <x:v>Prompt</x:v>
      </x:c>
      <x:c r="D60" s="22" t="str">
        <x:v>Template Renderer</x:v>
      </x:c>
      <x:c r="E60" s="22" t="str">
        <x:v>Prompt Package와 입력 변수 결합</x:v>
      </x:c>
      <x:c r="F60" s="22" t="str">
        <x:v>질문·검색 문맥을 답변 Prompt에 삽입</x:v>
      </x:c>
      <x:c r="G60" s="22" t="str">
        <x:v>MVP</x:v>
      </x:c>
      <x:c r="H60" s="22" t="str">
        <x:v>중급</x:v>
      </x:c>
      <x:c r="I60" s="22" t="str">
        <x:v>M05</x:v>
      </x:c>
      <x:c r="J60" s="22" t="str">
        <x:v>회원 05</x:v>
      </x:c>
      <x:c r="K60" s="22" t="str">
        <x:v>Prompt Renderer</x:v>
      </x:c>
      <x:c r="L60" s="22" t="str">
        <x:v>M06</x:v>
      </x:c>
      <x:c r="M60" s="22" t="str">
        <x:v>P2 개발</x:v>
      </x:c>
      <x:c r="N60" s="22" t="str">
        <x:v>미착수</x:v>
      </x:c>
      <x:c r="O60" s="22" t="str">
        <x:v>회원 02</x:v>
      </x:c>
      <x:c r="P60" s="22" t="str">
        <x:v>Template Renderer 기능이 예시 시나리오에서 동작하고 테스트 증거가 저장됨</x:v>
      </x:c>
    </x:row>
    <x:row r="61">
      <x:c r="A61" s="25" t="str">
        <x:v>M05-F09</x:v>
      </x:c>
      <x:c r="B61" s="22" t="str">
        <x:v>Agent Runtime</x:v>
      </x:c>
      <x:c r="C61" s="22" t="str">
        <x:v>출력</x:v>
      </x:c>
      <x:c r="D61" s="22" t="str">
        <x:v>Response Schema</x:v>
      </x:c>
      <x:c r="E61" s="22" t="str">
        <x:v>답변·출처·Tool 이력 표준화</x:v>
      </x:c>
      <x:c r="F61" s="22" t="str">
        <x:v>Desktop에 answer/citations/status 반환</x:v>
      </x:c>
      <x:c r="G61" s="22" t="str">
        <x:v>MVP</x:v>
      </x:c>
      <x:c r="H61" s="22" t="str">
        <x:v>고급</x:v>
      </x:c>
      <x:c r="I61" s="22" t="str">
        <x:v>M05</x:v>
      </x:c>
      <x:c r="J61" s="22" t="str">
        <x:v>회원 05</x:v>
      </x:c>
      <x:c r="K61" s="22" t="str">
        <x:v>Response Model</x:v>
      </x:c>
      <x:c r="L61" s="22" t="str">
        <x:v>M06,M08</x:v>
      </x:c>
      <x:c r="M61" s="22" t="str">
        <x:v>P3 통합</x:v>
      </x:c>
      <x:c r="N61" s="22" t="str">
        <x:v>미착수</x:v>
      </x:c>
      <x:c r="O61" s="22" t="str">
        <x:v>회원 02</x:v>
      </x:c>
      <x:c r="P61" s="22" t="str">
        <x:v>Response Schema 기능이 예시 시나리오에서 동작하고 테스트 증거가 저장됨</x:v>
      </x:c>
    </x:row>
    <x:row r="62">
      <x:c r="A62" s="25" t="str">
        <x:v>M05-F10</x:v>
      </x:c>
      <x:c r="B62" s="22" t="str">
        <x:v>Agent Runtime</x:v>
      </x:c>
      <x:c r="C62" s="22" t="str">
        <x:v>제어</x:v>
      </x:c>
      <x:c r="D62" s="22" t="str">
        <x:v>Timeout·Cancel·Retry</x:v>
      </x:c>
      <x:c r="E62" s="22" t="str">
        <x:v>무한 실행과 일시 장애 제어</x:v>
      </x:c>
      <x:c r="F62" s="22" t="str">
        <x:v>MCP Timeout 후 1회 재시도</x:v>
      </x:c>
      <x:c r="G62" s="22" t="str">
        <x:v>MVP</x:v>
      </x:c>
      <x:c r="H62" s="22" t="str">
        <x:v>고급</x:v>
      </x:c>
      <x:c r="I62" s="22" t="str">
        <x:v>M05</x:v>
      </x:c>
      <x:c r="J62" s="22" t="str">
        <x:v>회원 05</x:v>
      </x:c>
      <x:c r="K62" s="22" t="str">
        <x:v>Execution Control</x:v>
      </x:c>
      <x:c r="L62" s="22" t="str">
        <x:v>M04,M10</x:v>
      </x:c>
      <x:c r="M62" s="22" t="str">
        <x:v>P3 통합</x:v>
      </x:c>
      <x:c r="N62" s="22" t="str">
        <x:v>미착수</x:v>
      </x:c>
      <x:c r="O62" s="22" t="str">
        <x:v>회원 02</x:v>
      </x:c>
      <x:c r="P62" s="22" t="str">
        <x:v>Timeout·Cancel·Retry 기능이 예시 시나리오에서 동작하고 테스트 증거가 저장됨</x:v>
      </x:c>
    </x:row>
    <x:row r="63">
      <x:c r="A63" s="25" t="str">
        <x:v>M05-F11</x:v>
      </x:c>
      <x:c r="B63" s="22" t="str">
        <x:v>Agent Runtime</x:v>
      </x:c>
      <x:c r="C63" s="22" t="str">
        <x:v>정책</x:v>
      </x:c>
      <x:c r="D63" s="22" t="str">
        <x:v>허용 자산 검사</x:v>
      </x:c>
      <x:c r="E63" s="22" t="str">
        <x:v>선언된 모델·RAG·MCP만 사용</x:v>
      </x:c>
      <x:c r="F63" s="22" t="str">
        <x:v>Agent가 임의 MCP 주소 연결하지 못함</x:v>
      </x:c>
      <x:c r="G63" s="22" t="str">
        <x:v>MVP</x:v>
      </x:c>
      <x:c r="H63" s="22" t="str">
        <x:v>고급</x:v>
      </x:c>
      <x:c r="I63" s="22" t="str">
        <x:v>M05</x:v>
      </x:c>
      <x:c r="J63" s="22" t="str">
        <x:v>회원 05</x:v>
      </x:c>
      <x:c r="K63" s="22" t="str">
        <x:v>Runtime Policy</x:v>
      </x:c>
      <x:c r="L63" s="22" t="str">
        <x:v>M11</x:v>
      </x:c>
      <x:c r="M63" s="22" t="str">
        <x:v>P3 통합</x:v>
      </x:c>
      <x:c r="N63" s="22" t="str">
        <x:v>미착수</x:v>
      </x:c>
      <x:c r="O63" s="22" t="str">
        <x:v>회원 02</x:v>
      </x:c>
      <x:c r="P63" s="22" t="str">
        <x:v>허용 자산 검사 기능이 예시 시나리오에서 동작하고 테스트 증거가 저장됨</x:v>
      </x:c>
    </x:row>
    <x:row r="64">
      <x:c r="A64" s="25" t="str">
        <x:v>M05-F12</x:v>
      </x:c>
      <x:c r="B64" s="22" t="str">
        <x:v>Agent Runtime</x:v>
      </x:c>
      <x:c r="C64" s="22" t="str">
        <x:v>관측</x:v>
      </x:c>
      <x:c r="D64" s="22" t="str">
        <x:v>구조화 로그</x:v>
      </x:c>
      <x:c r="E64" s="22" t="str">
        <x:v>Trace ID와 단계별 시간 기록</x:v>
      </x:c>
      <x:c r="F64" s="22" t="str">
        <x:v>검색 0.4초, MCP 0.2초 기록</x:v>
      </x:c>
      <x:c r="G64" s="22" t="str">
        <x:v>MVP</x:v>
      </x:c>
      <x:c r="H64" s="22" t="str">
        <x:v>중급</x:v>
      </x:c>
      <x:c r="I64" s="22" t="str">
        <x:v>M05</x:v>
      </x:c>
      <x:c r="J64" s="22" t="str">
        <x:v>회원 05</x:v>
      </x:c>
      <x:c r="K64" s="22" t="str">
        <x:v>Runtime Logging</x:v>
      </x:c>
      <x:c r="L64" s="22" t="str">
        <x:v>M11,M12</x:v>
      </x:c>
      <x:c r="M64" s="22" t="str">
        <x:v>P4 검증</x:v>
      </x:c>
      <x:c r="N64" s="22" t="str">
        <x:v>미착수</x:v>
      </x:c>
      <x:c r="O64" s="22" t="str">
        <x:v>회원 02</x:v>
      </x:c>
      <x:c r="P64" s="22" t="str">
        <x:v>구조화 로그 기능이 예시 시나리오에서 동작하고 테스트 증거가 저장됨</x:v>
      </x:c>
    </x:row>
    <x:row r="65">
      <x:c r="A65" s="25" t="str">
        <x:v>M06-F01</x:v>
      </x:c>
      <x:c r="B65" s="22" t="str">
        <x:v>표준</x:v>
      </x:c>
      <x:c r="C65" s="22" t="str">
        <x:v>공통</x:v>
      </x:c>
      <x:c r="D65" s="22" t="str">
        <x:v>Asset Manifest</x:v>
      </x:c>
      <x:c r="E65" s="22" t="str">
        <x:v>모든 자산의 공통 필드 정의</x:v>
      </x:c>
      <x:c r="F65" s="22" t="str">
        <x:v>id·version·owner·status 공통 사용</x:v>
      </x:c>
      <x:c r="G65" s="22" t="str">
        <x:v>MVP</x:v>
      </x:c>
      <x:c r="H65" s="22" t="str">
        <x:v>중급</x:v>
      </x:c>
      <x:c r="I65" s="22" t="str">
        <x:v>M06</x:v>
      </x:c>
      <x:c r="J65" s="22" t="str">
        <x:v>회원 06</x:v>
      </x:c>
      <x:c r="K65" s="22" t="str">
        <x:v>asset.schema.json</x:v>
      </x:c>
      <x:c r="L65" s="22" t="str">
        <x:v>없음</x:v>
      </x:c>
      <x:c r="M65" s="22" t="str">
        <x:v>P1 설계</x:v>
      </x:c>
      <x:c r="N65" s="22" t="str">
        <x:v>미착수</x:v>
      </x:c>
      <x:c r="O65" s="22" t="str">
        <x:v>회원 05</x:v>
      </x:c>
      <x:c r="P65" s="22" t="str">
        <x:v>Asset Manifest 기능이 예시 시나리오에서 동작하고 테스트 증거가 저장됨</x:v>
      </x:c>
    </x:row>
    <x:row r="66">
      <x:c r="A66" s="25" t="str">
        <x:v>M06-F02</x:v>
      </x:c>
      <x:c r="B66" s="22" t="str">
        <x:v>표준</x:v>
      </x:c>
      <x:c r="C66" s="22" t="str">
        <x:v>Agent</x:v>
      </x:c>
      <x:c r="D66" s="22" t="str">
        <x:v>Agent Schema</x:v>
      </x:c>
      <x:c r="E66" s="22" t="str">
        <x:v>Workflow·Prompt·의존성 규격</x:v>
      </x:c>
      <x:c r="F66" s="22" t="str">
        <x:v>Agent가 RAG와 MCP 최소 버전 선언</x:v>
      </x:c>
      <x:c r="G66" s="22" t="str">
        <x:v>MVP</x:v>
      </x:c>
      <x:c r="H66" s="22" t="str">
        <x:v>중급</x:v>
      </x:c>
      <x:c r="I66" s="22" t="str">
        <x:v>M06</x:v>
      </x:c>
      <x:c r="J66" s="22" t="str">
        <x:v>회원 06</x:v>
      </x:c>
      <x:c r="K66" s="22" t="str">
        <x:v>agent.schema.json</x:v>
      </x:c>
      <x:c r="L66" s="22" t="str">
        <x:v>없음</x:v>
      </x:c>
      <x:c r="M66" s="22" t="str">
        <x:v>P1 설계</x:v>
      </x:c>
      <x:c r="N66" s="22" t="str">
        <x:v>미착수</x:v>
      </x:c>
      <x:c r="O66" s="22" t="str">
        <x:v>회원 05</x:v>
      </x:c>
      <x:c r="P66" s="22" t="str">
        <x:v>Agent Schema 기능이 예시 시나리오에서 동작하고 테스트 증거가 저장됨</x:v>
      </x:c>
    </x:row>
    <x:row r="67">
      <x:c r="A67" s="25" t="str">
        <x:v>M06-F03</x:v>
      </x:c>
      <x:c r="B67" s="22" t="str">
        <x:v>표준</x:v>
      </x:c>
      <x:c r="C67" s="22" t="str">
        <x:v>RAG</x:v>
      </x:c>
      <x:c r="D67" s="22" t="str">
        <x:v>RAG Index Schema</x:v>
      </x:c>
      <x:c r="E67" s="22" t="str">
        <x:v>청크·인덱스·평가 파일 규격</x:v>
      </x:c>
      <x:c r="F67" s="22" t="str">
        <x:v>chunks.jsonl과 Chroma 경로 선언</x:v>
      </x:c>
      <x:c r="G67" s="22" t="str">
        <x:v>MVP</x:v>
      </x:c>
      <x:c r="H67" s="22" t="str">
        <x:v>중급</x:v>
      </x:c>
      <x:c r="I67" s="22" t="str">
        <x:v>M06</x:v>
      </x:c>
      <x:c r="J67" s="22" t="str">
        <x:v>회원 06</x:v>
      </x:c>
      <x:c r="K67" s="22" t="str">
        <x:v>rag.schema.json</x:v>
      </x:c>
      <x:c r="L67" s="22" t="str">
        <x:v>M07,M09</x:v>
      </x:c>
      <x:c r="M67" s="22" t="str">
        <x:v>P1 설계</x:v>
      </x:c>
      <x:c r="N67" s="22" t="str">
        <x:v>미착수</x:v>
      </x:c>
      <x:c r="O67" s="22" t="str">
        <x:v>회원 05</x:v>
      </x:c>
      <x:c r="P67" s="22" t="str">
        <x:v>RAG Index Schema 기능이 예시 시나리오에서 동작하고 테스트 증거가 저장됨</x:v>
      </x:c>
    </x:row>
    <x:row r="68">
      <x:c r="A68" s="25" t="str">
        <x:v>M06-F04</x:v>
      </x:c>
      <x:c r="B68" s="22" t="str">
        <x:v>표준</x:v>
      </x:c>
      <x:c r="C68" s="22" t="str">
        <x:v>MCP</x:v>
      </x:c>
      <x:c r="D68" s="22" t="str">
        <x:v>MCP Tool Schema</x:v>
      </x:c>
      <x:c r="E68" s="22" t="str">
        <x:v>입력·출력·권한·위험도 규격</x:v>
      </x:c>
      <x:c r="F68" s="22" t="str">
        <x:v>table_count가 read-only임을 선언</x:v>
      </x:c>
      <x:c r="G68" s="22" t="str">
        <x:v>MVP</x:v>
      </x:c>
      <x:c r="H68" s="22" t="str">
        <x:v>중급</x:v>
      </x:c>
      <x:c r="I68" s="22" t="str">
        <x:v>M06</x:v>
      </x:c>
      <x:c r="J68" s="22" t="str">
        <x:v>회원 06</x:v>
      </x:c>
      <x:c r="K68" s="22" t="str">
        <x:v>mcp.schema.json</x:v>
      </x:c>
      <x:c r="L68" s="22" t="str">
        <x:v>M10</x:v>
      </x:c>
      <x:c r="M68" s="22" t="str">
        <x:v>P1 설계</x:v>
      </x:c>
      <x:c r="N68" s="22" t="str">
        <x:v>미착수</x:v>
      </x:c>
      <x:c r="O68" s="22" t="str">
        <x:v>회원 05</x:v>
      </x:c>
      <x:c r="P68" s="22" t="str">
        <x:v>MCP Tool Schema 기능이 예시 시나리오에서 동작하고 테스트 증거가 저장됨</x:v>
      </x:c>
    </x:row>
    <x:row r="69">
      <x:c r="A69" s="25" t="str">
        <x:v>M06-F05</x:v>
      </x:c>
      <x:c r="B69" s="22" t="str">
        <x:v>표준</x:v>
      </x:c>
      <x:c r="C69" s="22" t="str">
        <x:v>Prompt</x:v>
      </x:c>
      <x:c r="D69" s="22" t="str">
        <x:v>Prompt Schema</x:v>
      </x:c>
      <x:c r="E69" s="22" t="str">
        <x:v>변수·지원 모델·출력 형식 규격</x:v>
      </x:c>
      <x:c r="F69" s="22" t="str">
        <x:v>query와 context 변수를 선언</x:v>
      </x:c>
      <x:c r="G69" s="22" t="str">
        <x:v>MVP</x:v>
      </x:c>
      <x:c r="H69" s="22" t="str">
        <x:v>초중급</x:v>
      </x:c>
      <x:c r="I69" s="22" t="str">
        <x:v>M06</x:v>
      </x:c>
      <x:c r="J69" s="22" t="str">
        <x:v>회원 06</x:v>
      </x:c>
      <x:c r="K69" s="22" t="str">
        <x:v>prompt.schema.json</x:v>
      </x:c>
      <x:c r="L69" s="22" t="str">
        <x:v>M05</x:v>
      </x:c>
      <x:c r="M69" s="22" t="str">
        <x:v>P1 설계</x:v>
      </x:c>
      <x:c r="N69" s="22" t="str">
        <x:v>미착수</x:v>
      </x:c>
      <x:c r="O69" s="22" t="str">
        <x:v>회원 05</x:v>
      </x:c>
      <x:c r="P69" s="22" t="str">
        <x:v>Prompt Schema 기능이 예시 시나리오에서 동작하고 테스트 증거가 저장됨</x:v>
      </x:c>
    </x:row>
    <x:row r="70">
      <x:c r="A70" s="25" t="str">
        <x:v>M06-F06</x:v>
      </x:c>
      <x:c r="B70" s="22" t="str">
        <x:v>표준</x:v>
      </x:c>
      <x:c r="C70" s="22" t="str">
        <x:v>RAG</x:v>
      </x:c>
      <x:c r="D70" s="22" t="str">
        <x:v>Indexing Profile</x:v>
      </x:c>
      <x:c r="E70" s="22" t="str">
        <x:v>파서·청킹·임베딩·DB 설정</x:v>
      </x:c>
      <x:c r="F70" s="22" t="str">
        <x:v>Parent 1200, Child 350 설정</x:v>
      </x:c>
      <x:c r="G70" s="22" t="str">
        <x:v>MVP</x:v>
      </x:c>
      <x:c r="H70" s="22" t="str">
        <x:v>중급</x:v>
      </x:c>
      <x:c r="I70" s="22" t="str">
        <x:v>M06</x:v>
      </x:c>
      <x:c r="J70" s="22" t="str">
        <x:v>회원 06</x:v>
      </x:c>
      <x:c r="K70" s="22" t="str">
        <x:v>indexing-profile.schema</x:v>
      </x:c>
      <x:c r="L70" s="22" t="str">
        <x:v>M07</x:v>
      </x:c>
      <x:c r="M70" s="22" t="str">
        <x:v>P1 설계</x:v>
      </x:c>
      <x:c r="N70" s="22" t="str">
        <x:v>미착수</x:v>
      </x:c>
      <x:c r="O70" s="22" t="str">
        <x:v>회원 05</x:v>
      </x:c>
      <x:c r="P70" s="22" t="str">
        <x:v>Indexing Profile 기능이 예시 시나리오에서 동작하고 테스트 증거가 저장됨</x:v>
      </x:c>
    </x:row>
    <x:row r="71">
      <x:c r="A71" s="25" t="str">
        <x:v>M06-F07</x:v>
      </x:c>
      <x:c r="B71" s="22" t="str">
        <x:v>표준</x:v>
      </x:c>
      <x:c r="C71" s="22" t="str">
        <x:v>RAG</x:v>
      </x:c>
      <x:c r="D71" s="22" t="str">
        <x:v>Retrieval Profile</x:v>
      </x:c>
      <x:c r="E71" s="22" t="str">
        <x:v>Vector·BM25·RRF·Top-K 설정</x:v>
      </x:c>
      <x:c r="F71" s="22" t="str">
        <x:v>Vector 0.7, BM25 0.3 결합</x:v>
      </x:c>
      <x:c r="G71" s="22" t="str">
        <x:v>MVP</x:v>
      </x:c>
      <x:c r="H71" s="22" t="str">
        <x:v>중급</x:v>
      </x:c>
      <x:c r="I71" s="22" t="str">
        <x:v>M06</x:v>
      </x:c>
      <x:c r="J71" s="22" t="str">
        <x:v>회원 06</x:v>
      </x:c>
      <x:c r="K71" s="22" t="str">
        <x:v>retrieval-profile.schema</x:v>
      </x:c>
      <x:c r="L71" s="22" t="str">
        <x:v>M08</x:v>
      </x:c>
      <x:c r="M71" s="22" t="str">
        <x:v>P1 설계</x:v>
      </x:c>
      <x:c r="N71" s="22" t="str">
        <x:v>미착수</x:v>
      </x:c>
      <x:c r="O71" s="22" t="str">
        <x:v>회원 05</x:v>
      </x:c>
      <x:c r="P71" s="22" t="str">
        <x:v>Retrieval Profile 기능이 예시 시나리오에서 동작하고 테스트 증거가 저장됨</x:v>
      </x:c>
    </x:row>
    <x:row r="72">
      <x:c r="A72" s="25" t="str">
        <x:v>M06-F08</x:v>
      </x:c>
      <x:c r="B72" s="22" t="str">
        <x:v>표준</x:v>
      </x:c>
      <x:c r="C72" s="22" t="str">
        <x:v>환경</x:v>
      </x:c>
      <x:c r="D72" s="22" t="str">
        <x:v>Office Profile</x:v>
      </x:c>
      <x:c r="E72" s="22" t="str">
        <x:v>사업장 모델·MCP·경로·정책</x:v>
      </x:c>
      <x:c r="F72" s="22" t="str">
        <x:v>A사업장 Ollama URL과 MCP 주소</x:v>
      </x:c>
      <x:c r="G72" s="22" t="str">
        <x:v>MVP</x:v>
      </x:c>
      <x:c r="H72" s="22" t="str">
        <x:v>중급</x:v>
      </x:c>
      <x:c r="I72" s="22" t="str">
        <x:v>M06</x:v>
      </x:c>
      <x:c r="J72" s="22" t="str">
        <x:v>회원 06</x:v>
      </x:c>
      <x:c r="K72" s="22" t="str">
        <x:v>office-profile.schema</x:v>
      </x:c>
      <x:c r="L72" s="22" t="str">
        <x:v>M03,M04</x:v>
      </x:c>
      <x:c r="M72" s="22" t="str">
        <x:v>P1 설계</x:v>
      </x:c>
      <x:c r="N72" s="22" t="str">
        <x:v>미착수</x:v>
      </x:c>
      <x:c r="O72" s="22" t="str">
        <x:v>회원 05</x:v>
      </x:c>
      <x:c r="P72" s="22" t="str">
        <x:v>Office Profile 기능이 예시 시나리오에서 동작하고 테스트 증거가 저장됨</x:v>
      </x:c>
    </x:row>
    <x:row r="73">
      <x:c r="A73" s="25" t="str">
        <x:v>M06-F09</x:v>
      </x:c>
      <x:c r="B73" s="22" t="str">
        <x:v>표준</x:v>
      </x:c>
      <x:c r="C73" s="22" t="str">
        <x:v>버전</x:v>
      </x:c>
      <x:c r="D73" s="22" t="str">
        <x:v>호환성 규칙</x:v>
      </x:c>
      <x:c r="E73" s="22" t="str">
        <x:v>SemVer·최소 Runtime·마이그레이션</x:v>
      </x:c>
      <x:c r="F73" s="22" t="str">
        <x:v>Agent 2.x는 Runtime 2.x 요구</x:v>
      </x:c>
      <x:c r="G73" s="22" t="str">
        <x:v>MVP</x:v>
      </x:c>
      <x:c r="H73" s="22" t="str">
        <x:v>중급</x:v>
      </x:c>
      <x:c r="I73" s="22" t="str">
        <x:v>M06</x:v>
      </x:c>
      <x:c r="J73" s="22" t="str">
        <x:v>회원 06</x:v>
      </x:c>
      <x:c r="K73" s="22" t="str">
        <x:v>Compatibility Guide</x:v>
      </x:c>
      <x:c r="L73" s="22" t="str">
        <x:v>M02</x:v>
      </x:c>
      <x:c r="M73" s="22" t="str">
        <x:v>P1 설계</x:v>
      </x:c>
      <x:c r="N73" s="22" t="str">
        <x:v>미착수</x:v>
      </x:c>
      <x:c r="O73" s="22" t="str">
        <x:v>회원 05</x:v>
      </x:c>
      <x:c r="P73" s="22" t="str">
        <x:v>호환성 규칙 기능이 예시 시나리오에서 동작하고 테스트 증거가 저장됨</x:v>
      </x:c>
    </x:row>
    <x:row r="74">
      <x:c r="A74" s="25" t="str">
        <x:v>M06-F10</x:v>
      </x:c>
      <x:c r="B74" s="22" t="str">
        <x:v>표준</x:v>
      </x:c>
      <x:c r="C74" s="22" t="str">
        <x:v>검증</x:v>
      </x:c>
      <x:c r="D74" s="22" t="str">
        <x:v>Schema Validator</x:v>
      </x:c>
      <x:c r="E74" s="22" t="str">
        <x:v>CLI로 YAML·JSON 규격 검사</x:v>
      </x:c>
      <x:c r="F74" s="22" t="str">
        <x:v>등록 전 누락 필드 확인</x:v>
      </x:c>
      <x:c r="G74" s="22" t="str">
        <x:v>MVP</x:v>
      </x:c>
      <x:c r="H74" s="22" t="str">
        <x:v>중급</x:v>
      </x:c>
      <x:c r="I74" s="22" t="str">
        <x:v>M06</x:v>
      </x:c>
      <x:c r="J74" s="22" t="str">
        <x:v>회원 06</x:v>
      </x:c>
      <x:c r="K74" s="22" t="str">
        <x:v>Validator CLI</x:v>
      </x:c>
      <x:c r="L74" s="22" t="str">
        <x:v>M02,M03</x:v>
      </x:c>
      <x:c r="M74" s="22" t="str">
        <x:v>P2 개발</x:v>
      </x:c>
      <x:c r="N74" s="22" t="str">
        <x:v>미착수</x:v>
      </x:c>
      <x:c r="O74" s="22" t="str">
        <x:v>회원 05</x:v>
      </x:c>
      <x:c r="P74" s="22" t="str">
        <x:v>Schema Validator 기능이 예시 시나리오에서 동작하고 테스트 증거가 저장됨</x:v>
      </x:c>
    </x:row>
    <x:row r="75">
      <x:c r="A75" s="25" t="str">
        <x:v>M06-F11</x:v>
      </x:c>
      <x:c r="B75" s="22" t="str">
        <x:v>표준</x:v>
      </x:c>
      <x:c r="C75" s="22" t="str">
        <x:v>템플릿</x:v>
      </x:c>
      <x:c r="D75" s="22" t="str">
        <x:v>샘플 패키지</x:v>
      </x:c>
      <x:c r="E75" s="22" t="str">
        <x:v>각 자산의 최소 실행 예제</x:v>
      </x:c>
      <x:c r="F75" s="22" t="str">
        <x:v>hello-agent와 hr-policy-rag 제공</x:v>
      </x:c>
      <x:c r="G75" s="22" t="str">
        <x:v>MVP</x:v>
      </x:c>
      <x:c r="H75" s="22" t="str">
        <x:v>초중급</x:v>
      </x:c>
      <x:c r="I75" s="22" t="str">
        <x:v>M06</x:v>
      </x:c>
      <x:c r="J75" s="22" t="str">
        <x:v>회원 06</x:v>
      </x:c>
      <x:c r="K75" s="22" t="str">
        <x:v>Sample Assets</x:v>
      </x:c>
      <x:c r="L75" s="22" t="str">
        <x:v>M05,M07</x:v>
      </x:c>
      <x:c r="M75" s="22" t="str">
        <x:v>P2 개발</x:v>
      </x:c>
      <x:c r="N75" s="22" t="str">
        <x:v>미착수</x:v>
      </x:c>
      <x:c r="O75" s="22" t="str">
        <x:v>회원 05</x:v>
      </x:c>
      <x:c r="P75" s="22" t="str">
        <x:v>샘플 패키지 기능이 예시 시나리오에서 동작하고 테스트 증거가 저장됨</x:v>
      </x:c>
    </x:row>
    <x:row r="76">
      <x:c r="A76" s="25" t="str">
        <x:v>M06-F12</x:v>
      </x:c>
      <x:c r="B76" s="22" t="str">
        <x:v>표준</x:v>
      </x:c>
      <x:c r="C76" s="22" t="str">
        <x:v>문서</x:v>
      </x:c>
      <x:c r="D76" s="22" t="str">
        <x:v>변경·마이그레이션</x:v>
      </x:c>
      <x:c r="E76" s="22" t="str">
        <x:v>Schema 변경 절차와 호환 정책</x:v>
      </x:c>
      <x:c r="F76" s="22" t="str">
        <x:v>v1→v2 필드 변환 가이드</x:v>
      </x:c>
      <x:c r="G76" s="22" t="str">
        <x:v>확장</x:v>
      </x:c>
      <x:c r="H76" s="22" t="str">
        <x:v>초중급</x:v>
      </x:c>
      <x:c r="I76" s="22" t="str">
        <x:v>M06</x:v>
      </x:c>
      <x:c r="J76" s="22" t="str">
        <x:v>회원 06</x:v>
      </x:c>
      <x:c r="K76" s="22" t="str">
        <x:v>Migration Guide</x:v>
      </x:c>
      <x:c r="L76" s="22" t="str">
        <x:v>M12</x:v>
      </x:c>
      <x:c r="M76" s="22" t="str">
        <x:v>P4 검증</x:v>
      </x:c>
      <x:c r="N76" s="22" t="str">
        <x:v>미착수</x:v>
      </x:c>
      <x:c r="O76" s="22" t="str">
        <x:v>회원 05</x:v>
      </x:c>
      <x:c r="P76" s="22" t="str">
        <x:v>변경·마이그레이션 기능이 예시 시나리오에서 동작하고 테스트 증거가 저장됨</x:v>
      </x:c>
    </x:row>
    <x:row r="77">
      <x:c r="A77" s="25" t="str">
        <x:v>M07-F01</x:v>
      </x:c>
      <x:c r="B77" s="22" t="str">
        <x:v>RAG 구축</x:v>
      </x:c>
      <x:c r="C77" s="22" t="str">
        <x:v>입력</x:v>
      </x:c>
      <x:c r="D77" s="22" t="str">
        <x:v>Markdown·Text Loader</x:v>
      </x:c>
      <x:c r="E77" s="22" t="str">
        <x:v>기본 문서 파일을 Document로 로드</x:v>
      </x:c>
      <x:c r="F77" s="22" t="str">
        <x:v>hr_policy.md를 원본 메타데이터와 로드</x:v>
      </x:c>
      <x:c r="G77" s="22" t="str">
        <x:v>MVP</x:v>
      </x:c>
      <x:c r="H77" s="22" t="str">
        <x:v>중급</x:v>
      </x:c>
      <x:c r="I77" s="22" t="str">
        <x:v>M07</x:v>
      </x:c>
      <x:c r="J77" s="22" t="str">
        <x:v>회원 07</x:v>
      </x:c>
      <x:c r="K77" s="22" t="str">
        <x:v>Document Loader</x:v>
      </x:c>
      <x:c r="L77" s="22" t="str">
        <x:v>M06</x:v>
      </x:c>
      <x:c r="M77" s="22" t="str">
        <x:v>P2 개발</x:v>
      </x:c>
      <x:c r="N77" s="22" t="str">
        <x:v>미착수</x:v>
      </x:c>
      <x:c r="O77" s="22" t="str">
        <x:v>회원 08</x:v>
      </x:c>
      <x:c r="P77" s="22" t="str">
        <x:v>Markdown·Text Loader 기능이 예시 시나리오에서 동작하고 테스트 증거가 저장됨</x:v>
      </x:c>
    </x:row>
    <x:row r="78">
      <x:c r="A78" s="25" t="str">
        <x:v>M07-F02</x:v>
      </x:c>
      <x:c r="B78" s="22" t="str">
        <x:v>RAG 구축</x:v>
      </x:c>
      <x:c r="C78" s="22" t="str">
        <x:v>파싱</x:v>
      </x:c>
      <x:c r="D78" s="22" t="str">
        <x:v>정제·구조 보존</x:v>
      </x:c>
      <x:c r="E78" s="22" t="str">
        <x:v>공백 정리와 제목·페이지 보존</x:v>
      </x:c>
      <x:c r="F78" s="22" t="str">
        <x:v>Markdown 제목을 section으로 저장</x:v>
      </x:c>
      <x:c r="G78" s="22" t="str">
        <x:v>MVP</x:v>
      </x:c>
      <x:c r="H78" s="22" t="str">
        <x:v>중급</x:v>
      </x:c>
      <x:c r="I78" s="22" t="str">
        <x:v>M07</x:v>
      </x:c>
      <x:c r="J78" s="22" t="str">
        <x:v>회원 07</x:v>
      </x:c>
      <x:c r="K78" s="22" t="str">
        <x:v>Parser Pipeline</x:v>
      </x:c>
      <x:c r="L78" s="22" t="str">
        <x:v>M06</x:v>
      </x:c>
      <x:c r="M78" s="22" t="str">
        <x:v>P2 개발</x:v>
      </x:c>
      <x:c r="N78" s="22" t="str">
        <x:v>미착수</x:v>
      </x:c>
      <x:c r="O78" s="22" t="str">
        <x:v>회원 08</x:v>
      </x:c>
      <x:c r="P78" s="22" t="str">
        <x:v>정제·구조 보존 기능이 예시 시나리오에서 동작하고 테스트 증거가 저장됨</x:v>
      </x:c>
    </x:row>
    <x:row r="79">
      <x:c r="A79" s="25" t="str">
        <x:v>M07-F03</x:v>
      </x:c>
      <x:c r="B79" s="22" t="str">
        <x:v>RAG 구축</x:v>
      </x:c>
      <x:c r="C79" s="22" t="str">
        <x:v>청킹</x:v>
      </x:c>
      <x:c r="D79" s="22" t="str">
        <x:v>Recursive 전략</x:v>
      </x:c>
      <x:c r="E79" s="22" t="str">
        <x:v>문단·줄·공백 순 재귀 분할</x:v>
      </x:c>
      <x:c r="F79" s="22" t="str">
        <x:v>일반 텍스트를 350자 단위 분할</x:v>
      </x:c>
      <x:c r="G79" s="22" t="str">
        <x:v>MVP</x:v>
      </x:c>
      <x:c r="H79" s="22" t="str">
        <x:v>중급</x:v>
      </x:c>
      <x:c r="I79" s="22" t="str">
        <x:v>M07</x:v>
      </x:c>
      <x:c r="J79" s="22" t="str">
        <x:v>회원 07</x:v>
      </x:c>
      <x:c r="K79" s="22" t="str">
        <x:v>Recursive Chunker</x:v>
      </x:c>
      <x:c r="L79" s="22" t="str">
        <x:v>M06</x:v>
      </x:c>
      <x:c r="M79" s="22" t="str">
        <x:v>P2 개발</x:v>
      </x:c>
      <x:c r="N79" s="22" t="str">
        <x:v>미착수</x:v>
      </x:c>
      <x:c r="O79" s="22" t="str">
        <x:v>회원 08</x:v>
      </x:c>
      <x:c r="P79" s="22" t="str">
        <x:v>Recursive 전략 기능이 예시 시나리오에서 동작하고 테스트 증거가 저장됨</x:v>
      </x:c>
    </x:row>
    <x:row r="80">
      <x:c r="A80" s="25" t="str">
        <x:v>M07-F04</x:v>
      </x:c>
      <x:c r="B80" s="22" t="str">
        <x:v>RAG 구축</x:v>
      </x:c>
      <x:c r="C80" s="22" t="str">
        <x:v>청킹</x:v>
      </x:c>
      <x:c r="D80" s="22" t="str">
        <x:v>Markdown 전략</x:v>
      </x:c>
      <x:c r="E80" s="22" t="str">
        <x:v>제목 구조 우선 분리 후 재귀 분할</x:v>
      </x:c>
      <x:c r="F80" s="22" t="str">
        <x:v>규정의 장·절 구조 유지</x:v>
      </x:c>
      <x:c r="G80" s="22" t="str">
        <x:v>MVP</x:v>
      </x:c>
      <x:c r="H80" s="22" t="str">
        <x:v>고급</x:v>
      </x:c>
      <x:c r="I80" s="22" t="str">
        <x:v>M07</x:v>
      </x:c>
      <x:c r="J80" s="22" t="str">
        <x:v>회원 07</x:v>
      </x:c>
      <x:c r="K80" s="22" t="str">
        <x:v>Markdown Chunker</x:v>
      </x:c>
      <x:c r="L80" s="22" t="str">
        <x:v>M06</x:v>
      </x:c>
      <x:c r="M80" s="22" t="str">
        <x:v>P2 개발</x:v>
      </x:c>
      <x:c r="N80" s="22" t="str">
        <x:v>미착수</x:v>
      </x:c>
      <x:c r="O80" s="22" t="str">
        <x:v>회원 08</x:v>
      </x:c>
      <x:c r="P80" s="22" t="str">
        <x:v>Markdown 전략 기능이 예시 시나리오에서 동작하고 테스트 증거가 저장됨</x:v>
      </x:c>
    </x:row>
    <x:row r="81">
      <x:c r="A81" s="25" t="str">
        <x:v>M07-F05</x:v>
      </x:c>
      <x:c r="B81" s="22" t="str">
        <x:v>RAG 구축</x:v>
      </x:c>
      <x:c r="C81" s="22" t="str">
        <x:v>청킹</x:v>
      </x:c>
      <x:c r="D81" s="22" t="str">
        <x:v>Parent-Child 전략</x:v>
      </x:c>
      <x:c r="E81" s="22" t="str">
        <x:v>작은 검색 청크와 큰 문맥 연결</x:v>
      </x:c>
      <x:c r="F81" s="22" t="str">
        <x:v>Child 검색 후 Parent 규정 반환</x:v>
      </x:c>
      <x:c r="G81" s="22" t="str">
        <x:v>MVP</x:v>
      </x:c>
      <x:c r="H81" s="22" t="str">
        <x:v>고급</x:v>
      </x:c>
      <x:c r="I81" s="22" t="str">
        <x:v>M07</x:v>
      </x:c>
      <x:c r="J81" s="22" t="str">
        <x:v>회원 07</x:v>
      </x:c>
      <x:c r="K81" s="22" t="str">
        <x:v>ParentChild Chunker</x:v>
      </x:c>
      <x:c r="L81" s="22" t="str">
        <x:v>M06</x:v>
      </x:c>
      <x:c r="M81" s="22" t="str">
        <x:v>P2 개발</x:v>
      </x:c>
      <x:c r="N81" s="22" t="str">
        <x:v>미착수</x:v>
      </x:c>
      <x:c r="O81" s="22" t="str">
        <x:v>회원 08</x:v>
      </x:c>
      <x:c r="P81" s="22" t="str">
        <x:v>Parent-Child 전략 기능이 예시 시나리오에서 동작하고 테스트 증거가 저장됨</x:v>
      </x:c>
    </x:row>
    <x:row r="82">
      <x:c r="A82" s="25" t="str">
        <x:v>M07-F06</x:v>
      </x:c>
      <x:c r="B82" s="22" t="str">
        <x:v>RAG 구축</x:v>
      </x:c>
      <x:c r="C82" s="22" t="str">
        <x:v>식별</x:v>
      </x:c>
      <x:c r="D82" s="22" t="str">
        <x:v>문서·Parent·Chunk ID</x:v>
      </x:c>
      <x:c r="E82" s="22" t="str">
        <x:v>안정적 Hash 기반 ID 생성</x:v>
      </x:c>
      <x:c r="F82" s="22" t="str">
        <x:v>동일 문서는 재색인해도 ID 유지</x:v>
      </x:c>
      <x:c r="G82" s="22" t="str">
        <x:v>MVP</x:v>
      </x:c>
      <x:c r="H82" s="22" t="str">
        <x:v>고급</x:v>
      </x:c>
      <x:c r="I82" s="22" t="str">
        <x:v>M07</x:v>
      </x:c>
      <x:c r="J82" s="22" t="str">
        <x:v>회원 07</x:v>
      </x:c>
      <x:c r="K82" s="22" t="str">
        <x:v>ID Service</x:v>
      </x:c>
      <x:c r="L82" s="22" t="str">
        <x:v>M06</x:v>
      </x:c>
      <x:c r="M82" s="22" t="str">
        <x:v>P2 개발</x:v>
      </x:c>
      <x:c r="N82" s="22" t="str">
        <x:v>미착수</x:v>
      </x:c>
      <x:c r="O82" s="22" t="str">
        <x:v>회원 08</x:v>
      </x:c>
      <x:c r="P82" s="22" t="str">
        <x:v>문서·Parent·Chunk ID 기능이 예시 시나리오에서 동작하고 테스트 증거가 저장됨</x:v>
      </x:c>
    </x:row>
    <x:row r="83">
      <x:c r="A83" s="25" t="str">
        <x:v>M07-F07</x:v>
      </x:c>
      <x:c r="B83" s="22" t="str">
        <x:v>RAG 구축</x:v>
      </x:c>
      <x:c r="C83" s="22" t="str">
        <x:v>메타데이터</x:v>
      </x:c>
      <x:c r="D83" s="22" t="str">
        <x:v>Schema·업무 정보</x:v>
      </x:c>
      <x:c r="E83" s="22" t="str">
        <x:v>부서·상태·언어·섹션 기록</x:v>
      </x:c>
      <x:c r="F83" s="22" t="str">
        <x:v>department=HR, status=active 저장</x:v>
      </x:c>
      <x:c r="G83" s="22" t="str">
        <x:v>MVP</x:v>
      </x:c>
      <x:c r="H83" s="22" t="str">
        <x:v>중급</x:v>
      </x:c>
      <x:c r="I83" s="22" t="str">
        <x:v>M07</x:v>
      </x:c>
      <x:c r="J83" s="22" t="str">
        <x:v>회원 07</x:v>
      </x:c>
      <x:c r="K83" s="22" t="str">
        <x:v>Metadata Enricher</x:v>
      </x:c>
      <x:c r="L83" s="22" t="str">
        <x:v>M06</x:v>
      </x:c>
      <x:c r="M83" s="22" t="str">
        <x:v>P2 개발</x:v>
      </x:c>
      <x:c r="N83" s="22" t="str">
        <x:v>미착수</x:v>
      </x:c>
      <x:c r="O83" s="22" t="str">
        <x:v>회원 08</x:v>
      </x:c>
      <x:c r="P83" s="22" t="str">
        <x:v>Schema·업무 정보 기능이 예시 시나리오에서 동작하고 테스트 증거가 저장됨</x:v>
      </x:c>
    </x:row>
    <x:row r="84">
      <x:c r="A84" s="25" t="str">
        <x:v>M07-F08</x:v>
      </x:c>
      <x:c r="B84" s="22" t="str">
        <x:v>RAG 구축</x:v>
      </x:c>
      <x:c r="C84" s="22" t="str">
        <x:v>임베딩</x:v>
      </x:c>
      <x:c r="D84" s="22" t="str">
        <x:v>Ollama Batch</x:v>
      </x:c>
      <x:c r="E84" s="22" t="str">
        <x:v>로컬 Embedding 모델 일괄 호출</x:v>
      </x:c>
      <x:c r="F84" s="22" t="str">
        <x:v>qwen3-embedding으로 32개씩 처리</x:v>
      </x:c>
      <x:c r="G84" s="22" t="str">
        <x:v>MVP</x:v>
      </x:c>
      <x:c r="H84" s="22" t="str">
        <x:v>고급</x:v>
      </x:c>
      <x:c r="I84" s="22" t="str">
        <x:v>M07</x:v>
      </x:c>
      <x:c r="J84" s="22" t="str">
        <x:v>회원 07</x:v>
      </x:c>
      <x:c r="K84" s="22" t="str">
        <x:v>Embedding Service</x:v>
      </x:c>
      <x:c r="L84" s="22" t="str">
        <x:v>M06</x:v>
      </x:c>
      <x:c r="M84" s="22" t="str">
        <x:v>P2 개발</x:v>
      </x:c>
      <x:c r="N84" s="22" t="str">
        <x:v>미착수</x:v>
      </x:c>
      <x:c r="O84" s="22" t="str">
        <x:v>회원 08</x:v>
      </x:c>
      <x:c r="P84" s="22" t="str">
        <x:v>Ollama Batch 기능이 예시 시나리오에서 동작하고 테스트 증거가 저장됨</x:v>
      </x:c>
    </x:row>
    <x:row r="85">
      <x:c r="A85" s="25" t="str">
        <x:v>M07-F09</x:v>
      </x:c>
      <x:c r="B85" s="22" t="str">
        <x:v>RAG 구축</x:v>
      </x:c>
      <x:c r="C85" s="22" t="str">
        <x:v>Vector</x:v>
      </x:c>
      <x:c r="D85" s="22" t="str">
        <x:v>Chroma Upsert</x:v>
      </x:c>
      <x:c r="E85" s="22" t="str">
        <x:v>Collection 생성·추가·갱신</x:v>
      </x:c>
      <x:c r="F85" s="22" t="str">
        <x:v>chunk_id를 Chroma ID로 저장</x:v>
      </x:c>
      <x:c r="G85" s="22" t="str">
        <x:v>MVP</x:v>
      </x:c>
      <x:c r="H85" s="22" t="str">
        <x:v>고급</x:v>
      </x:c>
      <x:c r="I85" s="22" t="str">
        <x:v>M07</x:v>
      </x:c>
      <x:c r="J85" s="22" t="str">
        <x:v>회원 07</x:v>
      </x:c>
      <x:c r="K85" s="22" t="str">
        <x:v>Vector Indexer</x:v>
      </x:c>
      <x:c r="L85" s="22" t="str">
        <x:v>M06</x:v>
      </x:c>
      <x:c r="M85" s="22" t="str">
        <x:v>P2 개발</x:v>
      </x:c>
      <x:c r="N85" s="22" t="str">
        <x:v>미착수</x:v>
      </x:c>
      <x:c r="O85" s="22" t="str">
        <x:v>회원 08</x:v>
      </x:c>
      <x:c r="P85" s="22" t="str">
        <x:v>Chroma Upsert 기능이 예시 시나리오에서 동작하고 테스트 증거가 저장됨</x:v>
      </x:c>
    </x:row>
    <x:row r="86">
      <x:c r="A86" s="25" t="str">
        <x:v>M07-F10</x:v>
      </x:c>
      <x:c r="B86" s="22" t="str">
        <x:v>RAG 구축</x:v>
      </x:c>
      <x:c r="C86" s="22" t="str">
        <x:v>Keyword</x:v>
      </x:c>
      <x:c r="D86" s="22" t="str">
        <x:v>BM25 Index</x:v>
      </x:c>
      <x:c r="E86" s="22" t="str">
        <x:v>검색용 키워드 인덱스 생성·저장</x:v>
      </x:c>
      <x:c r="F86" s="22" t="str">
        <x:v>육아휴직·제15조 정확 검색</x:v>
      </x:c>
      <x:c r="G86" s="22" t="str">
        <x:v>MVP</x:v>
      </x:c>
      <x:c r="H86" s="22" t="str">
        <x:v>고급</x:v>
      </x:c>
      <x:c r="I86" s="22" t="str">
        <x:v>M07</x:v>
      </x:c>
      <x:c r="J86" s="22" t="str">
        <x:v>회원 07</x:v>
      </x:c>
      <x:c r="K86" s="22" t="str">
        <x:v>BM25 Builder</x:v>
      </x:c>
      <x:c r="L86" s="22" t="str">
        <x:v>M08</x:v>
      </x:c>
      <x:c r="M86" s="22" t="str">
        <x:v>P3 통합</x:v>
      </x:c>
      <x:c r="N86" s="22" t="str">
        <x:v>미착수</x:v>
      </x:c>
      <x:c r="O86" s="22" t="str">
        <x:v>회원 08</x:v>
      </x:c>
      <x:c r="P86" s="22" t="str">
        <x:v>BM25 Index 기능이 예시 시나리오에서 동작하고 테스트 증거가 저장됨</x:v>
      </x:c>
    </x:row>
    <x:row r="87">
      <x:c r="A87" s="25" t="str">
        <x:v>M07-F11</x:v>
      </x:c>
      <x:c r="B87" s="22" t="str">
        <x:v>RAG 구축</x:v>
      </x:c>
      <x:c r="C87" s="22" t="str">
        <x:v>갱신</x:v>
      </x:c>
      <x:c r="D87" s="22" t="str">
        <x:v>증분·삭제 동기화</x:v>
      </x:c>
      <x:c r="E87" s="22" t="str">
        <x:v>Hash 비교로 변경분만 처리</x:v>
      </x:c>
      <x:c r="F87" s="22" t="str">
        <x:v>수정된 규정 문서만 재임베딩</x:v>
      </x:c>
      <x:c r="G87" s="22" t="str">
        <x:v>확장</x:v>
      </x:c>
      <x:c r="H87" s="22" t="str">
        <x:v>고급</x:v>
      </x:c>
      <x:c r="I87" s="22" t="str">
        <x:v>M07</x:v>
      </x:c>
      <x:c r="J87" s="22" t="str">
        <x:v>회원 07</x:v>
      </x:c>
      <x:c r="K87" s="22" t="str">
        <x:v>Incremental Indexer</x:v>
      </x:c>
      <x:c r="L87" s="22" t="str">
        <x:v>M09</x:v>
      </x:c>
      <x:c r="M87" s="22" t="str">
        <x:v>P4 검증</x:v>
      </x:c>
      <x:c r="N87" s="22" t="str">
        <x:v>미착수</x:v>
      </x:c>
      <x:c r="O87" s="22" t="str">
        <x:v>회원 08</x:v>
      </x:c>
      <x:c r="P87" s="22" t="str">
        <x:v>증분·삭제 동기화 기능이 예시 시나리오에서 동작하고 테스트 증거가 저장됨</x:v>
      </x:c>
    </x:row>
    <x:row r="88">
      <x:c r="A88" s="25" t="str">
        <x:v>M07-F12</x:v>
      </x:c>
      <x:c r="B88" s="22" t="str">
        <x:v>RAG 구축</x:v>
      </x:c>
      <x:c r="C88" s="22" t="str">
        <x:v>운영</x:v>
      </x:c>
      <x:c r="D88" s="22" t="str">
        <x:v>진행률·재시도·통계</x:v>
      </x:c>
      <x:c r="E88" s="22" t="str">
        <x:v>처리 현황·오류·시간·재개 지원</x:v>
      </x:c>
      <x:c r="F88" s="22" t="str">
        <x:v>5000/18000 청크 진행률 표시</x:v>
      </x:c>
      <x:c r="G88" s="22" t="str">
        <x:v>MVP</x:v>
      </x:c>
      <x:c r="H88" s="22" t="str">
        <x:v>중급</x:v>
      </x:c>
      <x:c r="I88" s="22" t="str">
        <x:v>M07</x:v>
      </x:c>
      <x:c r="J88" s="22" t="str">
        <x:v>회원 07</x:v>
      </x:c>
      <x:c r="K88" s="22" t="str">
        <x:v>Indexing Report</x:v>
      </x:c>
      <x:c r="L88" s="22" t="str">
        <x:v>M09,M12</x:v>
      </x:c>
      <x:c r="M88" s="22" t="str">
        <x:v>P4 검증</x:v>
      </x:c>
      <x:c r="N88" s="22" t="str">
        <x:v>미착수</x:v>
      </x:c>
      <x:c r="O88" s="22" t="str">
        <x:v>회원 08</x:v>
      </x:c>
      <x:c r="P88" s="22" t="str">
        <x:v>진행률·재시도·통계 기능이 예시 시나리오에서 동작하고 테스트 증거가 저장됨</x:v>
      </x:c>
    </x:row>
    <x:row r="89">
      <x:c r="A89" s="25" t="str">
        <x:v>M08-F01</x:v>
      </x:c>
      <x:c r="B89" s="22" t="str">
        <x:v>RAG 검색</x:v>
      </x:c>
      <x:c r="C89" s="22" t="str">
        <x:v>초기화</x:v>
      </x:c>
      <x:c r="D89" s="22" t="str">
        <x:v>인덱스·호환성 로딩</x:v>
      </x:c>
      <x:c r="E89" s="22" t="str">
        <x:v>Chroma·BM25와 Embedding 모델 검사</x:v>
      </x:c>
      <x:c r="F89" s="22" t="str">
        <x:v>문서·질의 임베딩 모델 불일치 차단</x:v>
      </x:c>
      <x:c r="G89" s="22" t="str">
        <x:v>MVP</x:v>
      </x:c>
      <x:c r="H89" s="22" t="str">
        <x:v>고급</x:v>
      </x:c>
      <x:c r="I89" s="22" t="str">
        <x:v>M08</x:v>
      </x:c>
      <x:c r="J89" s="22" t="str">
        <x:v>회원 08</x:v>
      </x:c>
      <x:c r="K89" s="22" t="str">
        <x:v>Index Loader</x:v>
      </x:c>
      <x:c r="L89" s="22" t="str">
        <x:v>M06,M07</x:v>
      </x:c>
      <x:c r="M89" s="22" t="str">
        <x:v>P2 개발</x:v>
      </x:c>
      <x:c r="N89" s="22" t="str">
        <x:v>미착수</x:v>
      </x:c>
      <x:c r="O89" s="22" t="str">
        <x:v>회원 07</x:v>
      </x:c>
      <x:c r="P89" s="22" t="str">
        <x:v>인덱스·호환성 로딩 기능이 예시 시나리오에서 동작하고 테스트 증거가 저장됨</x:v>
      </x:c>
    </x:row>
    <x:row r="90">
      <x:c r="A90" s="25" t="str">
        <x:v>M08-F02</x:v>
      </x:c>
      <x:c r="B90" s="22" t="str">
        <x:v>RAG 검색</x:v>
      </x:c>
      <x:c r="C90" s="22" t="str">
        <x:v>질의</x:v>
      </x:c>
      <x:c r="D90" s="22" t="str">
        <x:v>정규화·Rewrite</x:v>
      </x:c>
      <x:c r="E90" s="22" t="str">
        <x:v>검색용 질의로 변환하고 실패 시 원문 사용</x:v>
      </x:c>
      <x:c r="F90" s="22" t="str">
        <x:v>'아파서 쉬기'를 '병가 신청 증빙'으로 변환</x:v>
      </x:c>
      <x:c r="G90" s="22" t="str">
        <x:v>MVP</x:v>
      </x:c>
      <x:c r="H90" s="22" t="str">
        <x:v>고급</x:v>
      </x:c>
      <x:c r="I90" s="22" t="str">
        <x:v>M08</x:v>
      </x:c>
      <x:c r="J90" s="22" t="str">
        <x:v>회원 08</x:v>
      </x:c>
      <x:c r="K90" s="22" t="str">
        <x:v>Query Transformer</x:v>
      </x:c>
      <x:c r="L90" s="22" t="str">
        <x:v>M05</x:v>
      </x:c>
      <x:c r="M90" s="22" t="str">
        <x:v>P2 개발</x:v>
      </x:c>
      <x:c r="N90" s="22" t="str">
        <x:v>미착수</x:v>
      </x:c>
      <x:c r="O90" s="22" t="str">
        <x:v>회원 07</x:v>
      </x:c>
      <x:c r="P90" s="22" t="str">
        <x:v>정규화·Rewrite 기능이 예시 시나리오에서 동작하고 테스트 증거가 저장됨</x:v>
      </x:c>
    </x:row>
    <x:row r="91">
      <x:c r="A91" s="25" t="str">
        <x:v>M08-F03</x:v>
      </x:c>
      <x:c r="B91" s="22" t="str">
        <x:v>RAG 검색</x:v>
      </x:c>
      <x:c r="C91" s="22" t="str">
        <x:v>검색</x:v>
      </x:c>
      <x:c r="D91" s="22" t="str">
        <x:v>Vector Search</x:v>
      </x:c>
      <x:c r="E91" s="22" t="str">
        <x:v>Chroma 의미 유사도 검색</x:v>
      </x:c>
      <x:c r="F91" s="22" t="str">
        <x:v>다른 표현의 동일 의미 문서 검색</x:v>
      </x:c>
      <x:c r="G91" s="22" t="str">
        <x:v>MVP</x:v>
      </x:c>
      <x:c r="H91" s="22" t="str">
        <x:v>고급</x:v>
      </x:c>
      <x:c r="I91" s="22" t="str">
        <x:v>M08</x:v>
      </x:c>
      <x:c r="J91" s="22" t="str">
        <x:v>회원 08</x:v>
      </x:c>
      <x:c r="K91" s="22" t="str">
        <x:v>Vector Retriever</x:v>
      </x:c>
      <x:c r="L91" s="22" t="str">
        <x:v>M07</x:v>
      </x:c>
      <x:c r="M91" s="22" t="str">
        <x:v>P2 개발</x:v>
      </x:c>
      <x:c r="N91" s="22" t="str">
        <x:v>미착수</x:v>
      </x:c>
      <x:c r="O91" s="22" t="str">
        <x:v>회원 07</x:v>
      </x:c>
      <x:c r="P91" s="22" t="str">
        <x:v>Vector Search 기능이 예시 시나리오에서 동작하고 테스트 증거가 저장됨</x:v>
      </x:c>
    </x:row>
    <x:row r="92">
      <x:c r="A92" s="25" t="str">
        <x:v>M08-F04</x:v>
      </x:c>
      <x:c r="B92" s="22" t="str">
        <x:v>RAG 검색</x:v>
      </x:c>
      <x:c r="C92" s="22" t="str">
        <x:v>검색</x:v>
      </x:c>
      <x:c r="D92" s="22" t="str">
        <x:v>BM25 Search</x:v>
      </x:c>
      <x:c r="E92" s="22" t="str">
        <x:v>정확한 키워드·코드 검색</x:v>
      </x:c>
      <x:c r="F92" s="22" t="str">
        <x:v>HR-2026-001 정확 검색</x:v>
      </x:c>
      <x:c r="G92" s="22" t="str">
        <x:v>MVP</x:v>
      </x:c>
      <x:c r="H92" s="22" t="str">
        <x:v>고급</x:v>
      </x:c>
      <x:c r="I92" s="22" t="str">
        <x:v>M08</x:v>
      </x:c>
      <x:c r="J92" s="22" t="str">
        <x:v>회원 08</x:v>
      </x:c>
      <x:c r="K92" s="22" t="str">
        <x:v>BM25 Retriever</x:v>
      </x:c>
      <x:c r="L92" s="22" t="str">
        <x:v>M07</x:v>
      </x:c>
      <x:c r="M92" s="22" t="str">
        <x:v>P2 개발</x:v>
      </x:c>
      <x:c r="N92" s="22" t="str">
        <x:v>미착수</x:v>
      </x:c>
      <x:c r="O92" s="22" t="str">
        <x:v>회원 07</x:v>
      </x:c>
      <x:c r="P92" s="22" t="str">
        <x:v>BM25 Search 기능이 예시 시나리오에서 동작하고 테스트 증거가 저장됨</x:v>
      </x:c>
    </x:row>
    <x:row r="93">
      <x:c r="A93" s="25" t="str">
        <x:v>M08-F05</x:v>
      </x:c>
      <x:c r="B93" s="22" t="str">
        <x:v>RAG 검색</x:v>
      </x:c>
      <x:c r="C93" s="22" t="str">
        <x:v>검색</x:v>
      </x:c>
      <x:c r="D93" s="22" t="str">
        <x:v>한국어 Tokenizer</x:v>
      </x:c>
      <x:c r="E93" s="22" t="str">
        <x:v>형태소·업무 사전 기반 토큰화</x:v>
      </x:c>
      <x:c r="F93" s="22" t="str">
        <x:v>육아휴직을 하나의 검색어로 유지</x:v>
      </x:c>
      <x:c r="G93" s="22" t="str">
        <x:v>확장</x:v>
      </x:c>
      <x:c r="H93" s="22" t="str">
        <x:v>고급</x:v>
      </x:c>
      <x:c r="I93" s="22" t="str">
        <x:v>M08</x:v>
      </x:c>
      <x:c r="J93" s="22" t="str">
        <x:v>회원 08</x:v>
      </x:c>
      <x:c r="K93" s="22" t="str">
        <x:v>Korean Tokenizer</x:v>
      </x:c>
      <x:c r="L93" s="22" t="str">
        <x:v>M07</x:v>
      </x:c>
      <x:c r="M93" s="22" t="str">
        <x:v>P4 검증</x:v>
      </x:c>
      <x:c r="N93" s="22" t="str">
        <x:v>미착수</x:v>
      </x:c>
      <x:c r="O93" s="22" t="str">
        <x:v>회원 07</x:v>
      </x:c>
      <x:c r="P93" s="22" t="str">
        <x:v>한국어 Tokenizer 기능이 예시 시나리오에서 동작하고 테스트 증거가 저장됨</x:v>
      </x:c>
    </x:row>
    <x:row r="94">
      <x:c r="A94" s="25" t="str">
        <x:v>M08-F06</x:v>
      </x:c>
      <x:c r="B94" s="22" t="str">
        <x:v>RAG 검색</x:v>
      </x:c>
      <x:c r="C94" s="22" t="str">
        <x:v>결합</x:v>
      </x:c>
      <x:c r="D94" s="22" t="str">
        <x:v>Hybrid 병렬 검색</x:v>
      </x:c>
      <x:c r="E94" s="22" t="str">
        <x:v>Vector·BM25 동시 실행</x:v>
      </x:c>
      <x:c r="F94" s="22" t="str">
        <x:v>두 검색 결과를 후보군으로 수집</x:v>
      </x:c>
      <x:c r="G94" s="22" t="str">
        <x:v>MVP</x:v>
      </x:c>
      <x:c r="H94" s="22" t="str">
        <x:v>고급</x:v>
      </x:c>
      <x:c r="I94" s="22" t="str">
        <x:v>M08</x:v>
      </x:c>
      <x:c r="J94" s="22" t="str">
        <x:v>회원 08</x:v>
      </x:c>
      <x:c r="K94" s="22" t="str">
        <x:v>Hybrid Retriever</x:v>
      </x:c>
      <x:c r="L94" s="22" t="str">
        <x:v>M07</x:v>
      </x:c>
      <x:c r="M94" s="22" t="str">
        <x:v>P2 개발</x:v>
      </x:c>
      <x:c r="N94" s="22" t="str">
        <x:v>미착수</x:v>
      </x:c>
      <x:c r="O94" s="22" t="str">
        <x:v>회원 07</x:v>
      </x:c>
      <x:c r="P94" s="22" t="str">
        <x:v>Hybrid 병렬 검색 기능이 예시 시나리오에서 동작하고 테스트 증거가 저장됨</x:v>
      </x:c>
    </x:row>
    <x:row r="95">
      <x:c r="A95" s="25" t="str">
        <x:v>M08-F07</x:v>
      </x:c>
      <x:c r="B95" s="22" t="str">
        <x:v>RAG 검색</x:v>
      </x:c>
      <x:c r="C95" s="22" t="str">
        <x:v>결합</x:v>
      </x:c>
      <x:c r="D95" s="22" t="str">
        <x:v>RRF Fusion</x:v>
      </x:c>
      <x:c r="E95" s="22" t="str">
        <x:v>순위와 가중치로 결과 결합</x:v>
      </x:c>
      <x:c r="F95" s="22" t="str">
        <x:v>Vector 0.7·BM25 0.3으로 통합</x:v>
      </x:c>
      <x:c r="G95" s="22" t="str">
        <x:v>MVP</x:v>
      </x:c>
      <x:c r="H95" s="22" t="str">
        <x:v>고급</x:v>
      </x:c>
      <x:c r="I95" s="22" t="str">
        <x:v>M08</x:v>
      </x:c>
      <x:c r="J95" s="22" t="str">
        <x:v>회원 08</x:v>
      </x:c>
      <x:c r="K95" s="22" t="str">
        <x:v>RRF Fusion</x:v>
      </x:c>
      <x:c r="L95" s="22" t="str">
        <x:v>M06</x:v>
      </x:c>
      <x:c r="M95" s="22" t="str">
        <x:v>P2 개발</x:v>
      </x:c>
      <x:c r="N95" s="22" t="str">
        <x:v>미착수</x:v>
      </x:c>
      <x:c r="O95" s="22" t="str">
        <x:v>회원 07</x:v>
      </x:c>
      <x:c r="P95" s="22" t="str">
        <x:v>RRF Fusion 기능이 예시 시나리오에서 동작하고 테스트 증거가 저장됨</x:v>
      </x:c>
    </x:row>
    <x:row r="96">
      <x:c r="A96" s="25" t="str">
        <x:v>M08-F08</x:v>
      </x:c>
      <x:c r="B96" s="22" t="str">
        <x:v>RAG 검색</x:v>
      </x:c>
      <x:c r="C96" s="22" t="str">
        <x:v>필터</x:v>
      </x:c>
      <x:c r="D96" s="22" t="str">
        <x:v>Metadata Filter</x:v>
      </x:c>
      <x:c r="E96" s="22" t="str">
        <x:v>부서·상태·버전 조건 적용</x:v>
      </x:c>
      <x:c r="F96" s="22" t="str">
        <x:v>HR이면서 active인 규정만 검색</x:v>
      </x:c>
      <x:c r="G96" s="22" t="str">
        <x:v>MVP</x:v>
      </x:c>
      <x:c r="H96" s="22" t="str">
        <x:v>중급</x:v>
      </x:c>
      <x:c r="I96" s="22" t="str">
        <x:v>M08</x:v>
      </x:c>
      <x:c r="J96" s="22" t="str">
        <x:v>회원 08</x:v>
      </x:c>
      <x:c r="K96" s="22" t="str">
        <x:v>Filter Engine</x:v>
      </x:c>
      <x:c r="L96" s="22" t="str">
        <x:v>M06</x:v>
      </x:c>
      <x:c r="M96" s="22" t="str">
        <x:v>P2 개발</x:v>
      </x:c>
      <x:c r="N96" s="22" t="str">
        <x:v>미착수</x:v>
      </x:c>
      <x:c r="O96" s="22" t="str">
        <x:v>회원 07</x:v>
      </x:c>
      <x:c r="P96" s="22" t="str">
        <x:v>Metadata Filter 기능이 예시 시나리오에서 동작하고 테스트 증거가 저장됨</x:v>
      </x:c>
    </x:row>
    <x:row r="97">
      <x:c r="A97" s="25" t="str">
        <x:v>M08-F09</x:v>
      </x:c>
      <x:c r="B97" s="22" t="str">
        <x:v>RAG 검색</x:v>
      </x:c>
      <x:c r="C97" s="22" t="str">
        <x:v>보안</x:v>
      </x:c>
      <x:c r="D97" s="22" t="str">
        <x:v>ACL Filter Hook</x:v>
      </x:c>
      <x:c r="E97" s="22" t="str">
        <x:v>사용자 권한 조건을 검색에 강제</x:v>
      </x:c>
      <x:c r="F97" s="22" t="str">
        <x:v>다른 부서의 기밀 청크 제외</x:v>
      </x:c>
      <x:c r="G97" s="22" t="str">
        <x:v>확장</x:v>
      </x:c>
      <x:c r="H97" s="22" t="str">
        <x:v>고급</x:v>
      </x:c>
      <x:c r="I97" s="22" t="str">
        <x:v>M08</x:v>
      </x:c>
      <x:c r="J97" s="22" t="str">
        <x:v>회원 08</x:v>
      </x:c>
      <x:c r="K97" s="22" t="str">
        <x:v>ACL Hook</x:v>
      </x:c>
      <x:c r="L97" s="22" t="str">
        <x:v>M11</x:v>
      </x:c>
      <x:c r="M97" s="22" t="str">
        <x:v>P3 통합</x:v>
      </x:c>
      <x:c r="N97" s="22" t="str">
        <x:v>미착수</x:v>
      </x:c>
      <x:c r="O97" s="22" t="str">
        <x:v>회원 07</x:v>
      </x:c>
      <x:c r="P97" s="22" t="str">
        <x:v>ACL Filter Hook 기능이 예시 시나리오에서 동작하고 테스트 증거가 저장됨</x:v>
      </x:c>
    </x:row>
    <x:row r="98">
      <x:c r="A98" s="25" t="str">
        <x:v>M08-F10</x:v>
      </x:c>
      <x:c r="B98" s="22" t="str">
        <x:v>RAG 검색</x:v>
      </x:c>
      <x:c r="C98" s="22" t="str">
        <x:v>문맥</x:v>
      </x:c>
      <x:c r="D98" s="22" t="str">
        <x:v>Parent 확장·중복제거</x:v>
      </x:c>
      <x:c r="E98" s="22" t="str">
        <x:v>Child 결과를 Parent로 교체하고 중복 제거</x:v>
      </x:c>
      <x:c r="F98" s="22" t="str">
        <x:v>동일 Parent의 Child 3개를 하나로 반환</x:v>
      </x:c>
      <x:c r="G98" s="22" t="str">
        <x:v>MVP</x:v>
      </x:c>
      <x:c r="H98" s="22" t="str">
        <x:v>고급</x:v>
      </x:c>
      <x:c r="I98" s="22" t="str">
        <x:v>M08</x:v>
      </x:c>
      <x:c r="J98" s="22" t="str">
        <x:v>회원 08</x:v>
      </x:c>
      <x:c r="K98" s="22" t="str">
        <x:v>Context Expander</x:v>
      </x:c>
      <x:c r="L98" s="22" t="str">
        <x:v>M07</x:v>
      </x:c>
      <x:c r="M98" s="22" t="str">
        <x:v>P2 개발</x:v>
      </x:c>
      <x:c r="N98" s="22" t="str">
        <x:v>미착수</x:v>
      </x:c>
      <x:c r="O98" s="22" t="str">
        <x:v>회원 07</x:v>
      </x:c>
      <x:c r="P98" s="22" t="str">
        <x:v>Parent 확장·중복제거 기능이 예시 시나리오에서 동작하고 테스트 증거가 저장됨</x:v>
      </x:c>
    </x:row>
    <x:row r="99">
      <x:c r="A99" s="25" t="str">
        <x:v>M08-F11</x:v>
      </x:c>
      <x:c r="B99" s="22" t="str">
        <x:v>RAG 검색</x:v>
      </x:c>
      <x:c r="C99" s="22" t="str">
        <x:v>문맥</x:v>
      </x:c>
      <x:c r="D99" s="22" t="str">
        <x:v>토큰 예산·Citation</x:v>
      </x:c>
      <x:c r="E99" s="22" t="str">
        <x:v>최종 문맥 크기와 출처 표준화</x:v>
      </x:c>
      <x:c r="F99" s="22" t="str">
        <x:v>파일·섹션·페이지를 답변에 전달</x:v>
      </x:c>
      <x:c r="G99" s="22" t="str">
        <x:v>MVP</x:v>
      </x:c>
      <x:c r="H99" s="22" t="str">
        <x:v>고급</x:v>
      </x:c>
      <x:c r="I99" s="22" t="str">
        <x:v>M08</x:v>
      </x:c>
      <x:c r="J99" s="22" t="str">
        <x:v>회원 08</x:v>
      </x:c>
      <x:c r="K99" s="22" t="str">
        <x:v>Context Builder</x:v>
      </x:c>
      <x:c r="L99" s="22" t="str">
        <x:v>M05</x:v>
      </x:c>
      <x:c r="M99" s="22" t="str">
        <x:v>P3 통합</x:v>
      </x:c>
      <x:c r="N99" s="22" t="str">
        <x:v>미착수</x:v>
      </x:c>
      <x:c r="O99" s="22" t="str">
        <x:v>회원 07</x:v>
      </x:c>
      <x:c r="P99" s="22" t="str">
        <x:v>토큰 예산·Citation 기능이 예시 시나리오에서 동작하고 테스트 증거가 저장됨</x:v>
      </x:c>
    </x:row>
    <x:row r="100">
      <x:c r="A100" s="25" t="str">
        <x:v>M08-F12</x:v>
      </x:c>
      <x:c r="B100" s="22" t="str">
        <x:v>RAG 검색</x:v>
      </x:c>
      <x:c r="C100" s="22" t="str">
        <x:v>관측</x:v>
      </x:c>
      <x:c r="D100" s="22" t="str">
        <x:v>Trace·Latency·Rerank Hook</x:v>
      </x:c>
      <x:c r="E100" s="22" t="str">
        <x:v>검색 단계·점수·시간 기록과 확장점</x:v>
      </x:c>
      <x:c r="F100" s="22" t="str">
        <x:v>Vector 0.2초·BM25 0.05초 기록</x:v>
      </x:c>
      <x:c r="G100" s="22" t="str">
        <x:v>MVP</x:v>
      </x:c>
      <x:c r="H100" s="22" t="str">
        <x:v>중급</x:v>
      </x:c>
      <x:c r="I100" s="22" t="str">
        <x:v>M08</x:v>
      </x:c>
      <x:c r="J100" s="22" t="str">
        <x:v>회원 08</x:v>
      </x:c>
      <x:c r="K100" s="22" t="str">
        <x:v>Search Trace</x:v>
      </x:c>
      <x:c r="L100" s="22" t="str">
        <x:v>M09,M12</x:v>
      </x:c>
      <x:c r="M100" s="22" t="str">
        <x:v>P4 검증</x:v>
      </x:c>
      <x:c r="N100" s="22" t="str">
        <x:v>미착수</x:v>
      </x:c>
      <x:c r="O100" s="22" t="str">
        <x:v>회원 07</x:v>
      </x:c>
      <x:c r="P100" s="22" t="str">
        <x:v>Trace·Latency·Rerank Hook 기능이 예시 시나리오에서 동작하고 테스트 증거가 저장됨</x:v>
      </x:c>
    </x:row>
    <x:row r="101">
      <x:c r="A101" s="25" t="str">
        <x:v>M09-F01</x:v>
      </x:c>
      <x:c r="B101" s="22" t="str">
        <x:v>RAG 자산</x:v>
      </x:c>
      <x:c r="C101" s="22" t="str">
        <x:v>패키징</x:v>
      </x:c>
      <x:c r="D101" s="22" t="str">
        <x:v>Package Assembler</x:v>
      </x:c>
      <x:c r="E101" s="22" t="str">
        <x:v>RAG 결과를 표준 ZIP으로 조립</x:v>
      </x:c>
      <x:c r="F101" s="22" t="str">
        <x:v>chunks·parents·Chroma·Profile 포함</x:v>
      </x:c>
      <x:c r="G101" s="22" t="str">
        <x:v>MVP</x:v>
      </x:c>
      <x:c r="H101" s="22" t="str">
        <x:v>중급</x:v>
      </x:c>
      <x:c r="I101" s="22" t="str">
        <x:v>M09</x:v>
      </x:c>
      <x:c r="J101" s="22" t="str">
        <x:v>회원 09</x:v>
      </x:c>
      <x:c r="K101" s="22" t="str">
        <x:v>RAG Packager</x:v>
      </x:c>
      <x:c r="L101" s="22" t="str">
        <x:v>M06,M07</x:v>
      </x:c>
      <x:c r="M101" s="22" t="str">
        <x:v>P2 개발</x:v>
      </x:c>
      <x:c r="N101" s="22" t="str">
        <x:v>미착수</x:v>
      </x:c>
      <x:c r="O101" s="22" t="str">
        <x:v>회원 08</x:v>
      </x:c>
      <x:c r="P101" s="22" t="str">
        <x:v>Package Assembler 기능이 예시 시나리오에서 동작하고 테스트 증거가 저장됨</x:v>
      </x:c>
    </x:row>
    <x:row r="102">
      <x:c r="A102" s="25" t="str">
        <x:v>M09-F02</x:v>
      </x:c>
      <x:c r="B102" s="22" t="str">
        <x:v>RAG 자산</x:v>
      </x:c>
      <x:c r="C102" s="22" t="str">
        <x:v>데이터</x:v>
      </x:c>
      <x:c r="D102" s="22" t="str">
        <x:v>Chunks·Parents JSONL</x:v>
      </x:c>
      <x:c r="E102" s="22" t="str">
        <x:v>DB 독립적인 핵심 검색 데이터 저장</x:v>
      </x:c>
      <x:c r="F102" s="22" t="str">
        <x:v>다른 Vector DB로 재색인 가능</x:v>
      </x:c>
      <x:c r="G102" s="22" t="str">
        <x:v>MVP</x:v>
      </x:c>
      <x:c r="H102" s="22" t="str">
        <x:v>중급</x:v>
      </x:c>
      <x:c r="I102" s="22" t="str">
        <x:v>M09</x:v>
      </x:c>
      <x:c r="J102" s="22" t="str">
        <x:v>회원 09</x:v>
      </x:c>
      <x:c r="K102" s="22" t="str">
        <x:v>JSONL Dataset</x:v>
      </x:c>
      <x:c r="L102" s="22" t="str">
        <x:v>M07</x:v>
      </x:c>
      <x:c r="M102" s="22" t="str">
        <x:v>P2 개발</x:v>
      </x:c>
      <x:c r="N102" s="22" t="str">
        <x:v>미착수</x:v>
      </x:c>
      <x:c r="O102" s="22" t="str">
        <x:v>회원 08</x:v>
      </x:c>
      <x:c r="P102" s="22" t="str">
        <x:v>Chunks·Parents JSONL 기능이 예시 시나리오에서 동작하고 테스트 증거가 저장됨</x:v>
      </x:c>
    </x:row>
    <x:row r="103">
      <x:c r="A103" s="25" t="str">
        <x:v>M09-F03</x:v>
      </x:c>
      <x:c r="B103" s="22" t="str">
        <x:v>RAG 자산</x:v>
      </x:c>
      <x:c r="C103" s="22" t="str">
        <x:v>추적</x:v>
      </x:c>
      <x:c r="D103" s="22" t="str">
        <x:v>Source Manifest</x:v>
      </x:c>
      <x:c r="E103" s="22" t="str">
        <x:v>원본 문서·Hash·버전·권한 기록</x:v>
      </x:c>
      <x:c r="F103" s="22" t="str">
        <x:v>Nexacro 문서 17.1 출처 저장</x:v>
      </x:c>
      <x:c r="G103" s="22" t="str">
        <x:v>MVP</x:v>
      </x:c>
      <x:c r="H103" s="22" t="str">
        <x:v>중급</x:v>
      </x:c>
      <x:c r="I103" s="22" t="str">
        <x:v>M09</x:v>
      </x:c>
      <x:c r="J103" s="22" t="str">
        <x:v>회원 09</x:v>
      </x:c>
      <x:c r="K103" s="22" t="str">
        <x:v>source-manifest.json</x:v>
      </x:c>
      <x:c r="L103" s="22" t="str">
        <x:v>M07</x:v>
      </x:c>
      <x:c r="M103" s="22" t="str">
        <x:v>P2 개발</x:v>
      </x:c>
      <x:c r="N103" s="22" t="str">
        <x:v>미착수</x:v>
      </x:c>
      <x:c r="O103" s="22" t="str">
        <x:v>회원 08</x:v>
      </x:c>
      <x:c r="P103" s="22" t="str">
        <x:v>Source Manifest 기능이 예시 시나리오에서 동작하고 테스트 증거가 저장됨</x:v>
      </x:c>
    </x:row>
    <x:row r="104">
      <x:c r="A104" s="25" t="str">
        <x:v>M09-F04</x:v>
      </x:c>
      <x:c r="B104" s="22" t="str">
        <x:v>RAG 자산</x:v>
      </x:c>
      <x:c r="C104" s="22" t="str">
        <x:v>설정</x:v>
      </x:c>
      <x:c r="D104" s="22" t="str">
        <x:v>Profile 포함</x:v>
      </x:c>
      <x:c r="E104" s="22" t="str">
        <x:v>Indexing·Retrieval Profile 보관</x:v>
      </x:c>
      <x:c r="F104" s="22" t="str">
        <x:v>색인 재현과 기본 검색 설정 제공</x:v>
      </x:c>
      <x:c r="G104" s="22" t="str">
        <x:v>MVP</x:v>
      </x:c>
      <x:c r="H104" s="22" t="str">
        <x:v>초중급</x:v>
      </x:c>
      <x:c r="I104" s="22" t="str">
        <x:v>M09</x:v>
      </x:c>
      <x:c r="J104" s="22" t="str">
        <x:v>회원 09</x:v>
      </x:c>
      <x:c r="K104" s="22" t="str">
        <x:v>profiles/</x:v>
      </x:c>
      <x:c r="L104" s="22" t="str">
        <x:v>M06</x:v>
      </x:c>
      <x:c r="M104" s="22" t="str">
        <x:v>P2 개발</x:v>
      </x:c>
      <x:c r="N104" s="22" t="str">
        <x:v>미착수</x:v>
      </x:c>
      <x:c r="O104" s="22" t="str">
        <x:v>회원 08</x:v>
      </x:c>
      <x:c r="P104" s="22" t="str">
        <x:v>Profile 포함 기능이 예시 시나리오에서 동작하고 테스트 증거가 저장됨</x:v>
      </x:c>
    </x:row>
    <x:row r="105">
      <x:c r="A105" s="25" t="str">
        <x:v>M09-F05</x:v>
      </x:c>
      <x:c r="B105" s="22" t="str">
        <x:v>RAG 평가</x:v>
      </x:c>
      <x:c r="C105" s="22" t="str">
        <x:v>데이터</x:v>
      </x:c>
      <x:c r="D105" s="22" t="str">
        <x:v>평가 질문 세트</x:v>
      </x:c>
      <x:c r="E105" s="22" t="str">
        <x:v>질문·기대 문서·기대 청크 정의</x:v>
      </x:c>
      <x:c r="F105" s="22" t="str">
        <x:v>병가 질문의 기대 청크 지정</x:v>
      </x:c>
      <x:c r="G105" s="22" t="str">
        <x:v>MVP</x:v>
      </x:c>
      <x:c r="H105" s="22" t="str">
        <x:v>중급</x:v>
      </x:c>
      <x:c r="I105" s="22" t="str">
        <x:v>M09</x:v>
      </x:c>
      <x:c r="J105" s="22" t="str">
        <x:v>회원 09</x:v>
      </x:c>
      <x:c r="K105" s="22" t="str">
        <x:v>questions.jsonl</x:v>
      </x:c>
      <x:c r="L105" s="22" t="str">
        <x:v>업무 전문가</x:v>
      </x:c>
      <x:c r="M105" s="22" t="str">
        <x:v>P2 개발</x:v>
      </x:c>
      <x:c r="N105" s="22" t="str">
        <x:v>미착수</x:v>
      </x:c>
      <x:c r="O105" s="22" t="str">
        <x:v>회원 08</x:v>
      </x:c>
      <x:c r="P105" s="22" t="str">
        <x:v>평가 질문 세트 기능이 예시 시나리오에서 동작하고 테스트 증거가 저장됨</x:v>
      </x:c>
    </x:row>
    <x:row r="106">
      <x:c r="A106" s="25" t="str">
        <x:v>M09-F06</x:v>
      </x:c>
      <x:c r="B106" s="22" t="str">
        <x:v>RAG 평가</x:v>
      </x:c>
      <x:c r="C106" s="22" t="str">
        <x:v>검색</x:v>
      </x:c>
      <x:c r="D106" s="22" t="str">
        <x:v>Recall@K·MRR</x:v>
      </x:c>
      <x:c r="E106" s="22" t="str">
        <x:v>정답 문서 검색 순위 측정</x:v>
      </x:c>
      <x:c r="F106" s="22" t="str">
        <x:v>기대 청크가 Top-5에 포함</x:v>
      </x:c>
      <x:c r="G106" s="22" t="str">
        <x:v>MVP</x:v>
      </x:c>
      <x:c r="H106" s="22" t="str">
        <x:v>중급</x:v>
      </x:c>
      <x:c r="I106" s="22" t="str">
        <x:v>M09</x:v>
      </x:c>
      <x:c r="J106" s="22" t="str">
        <x:v>회원 09</x:v>
      </x:c>
      <x:c r="K106" s="22" t="str">
        <x:v>Retrieval Evaluator</x:v>
      </x:c>
      <x:c r="L106" s="22" t="str">
        <x:v>M08</x:v>
      </x:c>
      <x:c r="M106" s="22" t="str">
        <x:v>P3 통합</x:v>
      </x:c>
      <x:c r="N106" s="22" t="str">
        <x:v>미착수</x:v>
      </x:c>
      <x:c r="O106" s="22" t="str">
        <x:v>회원 08</x:v>
      </x:c>
      <x:c r="P106" s="22" t="str">
        <x:v>Recall@K·MRR 기능이 예시 시나리오에서 동작하고 테스트 증거가 저장됨</x:v>
      </x:c>
    </x:row>
    <x:row r="107">
      <x:c r="A107" s="25" t="str">
        <x:v>M09-F07</x:v>
      </x:c>
      <x:c r="B107" s="22" t="str">
        <x:v>RAG 평가</x:v>
      </x:c>
      <x:c r="C107" s="22" t="str">
        <x:v>성능</x:v>
      </x:c>
      <x:c r="D107" s="22" t="str">
        <x:v>Latency·용량</x:v>
      </x:c>
      <x:c r="E107" s="22" t="str">
        <x:v>검색시간·메모리·패키지 크기 측정</x:v>
      </x:c>
      <x:c r="F107" s="22" t="str">
        <x:v>폐쇄망 PC에서 검색 1초 이내</x:v>
      </x:c>
      <x:c r="G107" s="22" t="str">
        <x:v>MVP</x:v>
      </x:c>
      <x:c r="H107" s="22" t="str">
        <x:v>중급</x:v>
      </x:c>
      <x:c r="I107" s="22" t="str">
        <x:v>M09</x:v>
      </x:c>
      <x:c r="J107" s="22" t="str">
        <x:v>회원 09</x:v>
      </x:c>
      <x:c r="K107" s="22" t="str">
        <x:v>Performance Report</x:v>
      </x:c>
      <x:c r="L107" s="22" t="str">
        <x:v>M08</x:v>
      </x:c>
      <x:c r="M107" s="22" t="str">
        <x:v>P3 통합</x:v>
      </x:c>
      <x:c r="N107" s="22" t="str">
        <x:v>미착수</x:v>
      </x:c>
      <x:c r="O107" s="22" t="str">
        <x:v>회원 08</x:v>
      </x:c>
      <x:c r="P107" s="22" t="str">
        <x:v>Latency·용량 기능이 예시 시나리오에서 동작하고 테스트 증거가 저장됨</x:v>
      </x:c>
    </x:row>
    <x:row r="108">
      <x:c r="A108" s="25" t="str">
        <x:v>M09-F08</x:v>
      </x:c>
      <x:c r="B108" s="22" t="str">
        <x:v>RAG 평가</x:v>
      </x:c>
      <x:c r="C108" s="22" t="str">
        <x:v>답변</x:v>
      </x:c>
      <x:c r="D108" s="22" t="str">
        <x:v>근거성·Citation</x:v>
      </x:c>
      <x:c r="E108" s="22" t="str">
        <x:v>답변이 검색 문서에 근거하는지 평가</x:v>
      </x:c>
      <x:c r="F108" s="22" t="str">
        <x:v>없는 내용 추측 시 실패 처리</x:v>
      </x:c>
      <x:c r="G108" s="22" t="str">
        <x:v>확장</x:v>
      </x:c>
      <x:c r="H108" s="22" t="str">
        <x:v>고급</x:v>
      </x:c>
      <x:c r="I108" s="22" t="str">
        <x:v>M09</x:v>
      </x:c>
      <x:c r="J108" s="22" t="str">
        <x:v>회원 09</x:v>
      </x:c>
      <x:c r="K108" s="22" t="str">
        <x:v>Grounding Evaluator</x:v>
      </x:c>
      <x:c r="L108" s="22" t="str">
        <x:v>M05,M08</x:v>
      </x:c>
      <x:c r="M108" s="22" t="str">
        <x:v>P4 검증</x:v>
      </x:c>
      <x:c r="N108" s="22" t="str">
        <x:v>미착수</x:v>
      </x:c>
      <x:c r="O108" s="22" t="str">
        <x:v>회원 08</x:v>
      </x:c>
      <x:c r="P108" s="22" t="str">
        <x:v>근거성·Citation 기능이 예시 시나리오에서 동작하고 테스트 증거가 저장됨</x:v>
      </x:c>
    </x:row>
    <x:row r="109">
      <x:c r="A109" s="25" t="str">
        <x:v>M09-F09</x:v>
      </x:c>
      <x:c r="B109" s="22" t="str">
        <x:v>RAG 평가</x:v>
      </x:c>
      <x:c r="C109" s="22" t="str">
        <x:v>비교</x:v>
      </x:c>
      <x:c r="D109" s="22" t="str">
        <x:v>버전 비교</x:v>
      </x:c>
      <x:c r="E109" s="22" t="str">
        <x:v>RAG 버전별 지표 비교</x:v>
      </x:c>
      <x:c r="F109" s="22" t="str">
        <x:v>1.0 대비 1.1 Recall +8% 확인</x:v>
      </x:c>
      <x:c r="G109" s="22" t="str">
        <x:v>MVP</x:v>
      </x:c>
      <x:c r="H109" s="22" t="str">
        <x:v>중급</x:v>
      </x:c>
      <x:c r="I109" s="22" t="str">
        <x:v>M09</x:v>
      </x:c>
      <x:c r="J109" s="22" t="str">
        <x:v>회원 09</x:v>
      </x:c>
      <x:c r="K109" s="22" t="str">
        <x:v>Comparison Report</x:v>
      </x:c>
      <x:c r="L109" s="22" t="str">
        <x:v>M07,M08</x:v>
      </x:c>
      <x:c r="M109" s="22" t="str">
        <x:v>P3 통합</x:v>
      </x:c>
      <x:c r="N109" s="22" t="str">
        <x:v>미착수</x:v>
      </x:c>
      <x:c r="O109" s="22" t="str">
        <x:v>회원 08</x:v>
      </x:c>
      <x:c r="P109" s="22" t="str">
        <x:v>버전 비교 기능이 예시 시나리오에서 동작하고 테스트 증거가 저장됨</x:v>
      </x:c>
    </x:row>
    <x:row r="110">
      <x:c r="A110" s="25" t="str">
        <x:v>M09-F10</x:v>
      </x:c>
      <x:c r="B110" s="22" t="str">
        <x:v>RAG 평가</x:v>
      </x:c>
      <x:c r="C110" s="22" t="str">
        <x:v>회귀</x:v>
      </x:c>
      <x:c r="D110" s="22" t="str">
        <x:v>Regression Gate</x:v>
      </x:c>
      <x:c r="E110" s="22" t="str">
        <x:v>기준 미달 시 승인 차단</x:v>
      </x:c>
      <x:c r="F110" s="22" t="str">
        <x:v>Recall@5 80% 미만 배포 불가</x:v>
      </x:c>
      <x:c r="G110" s="22" t="str">
        <x:v>확장</x:v>
      </x:c>
      <x:c r="H110" s="22" t="str">
        <x:v>고급</x:v>
      </x:c>
      <x:c r="I110" s="22" t="str">
        <x:v>M09</x:v>
      </x:c>
      <x:c r="J110" s="22" t="str">
        <x:v>회원 09</x:v>
      </x:c>
      <x:c r="K110" s="22" t="str">
        <x:v>Quality Gate</x:v>
      </x:c>
      <x:c r="L110" s="22" t="str">
        <x:v>M11,M12</x:v>
      </x:c>
      <x:c r="M110" s="22" t="str">
        <x:v>P4 검증</x:v>
      </x:c>
      <x:c r="N110" s="22" t="str">
        <x:v>미착수</x:v>
      </x:c>
      <x:c r="O110" s="22" t="str">
        <x:v>회원 08</x:v>
      </x:c>
      <x:c r="P110" s="22" t="str">
        <x:v>Regression Gate 기능이 예시 시나리오에서 동작하고 테스트 증거가 저장됨</x:v>
      </x:c>
    </x:row>
    <x:row r="111">
      <x:c r="A111" s="25" t="str">
        <x:v>M09-F11</x:v>
      </x:c>
      <x:c r="B111" s="22" t="str">
        <x:v>RAG 자산</x:v>
      </x:c>
      <x:c r="C111" s="22" t="str">
        <x:v>문서</x:v>
      </x:c>
      <x:c r="D111" s="22" t="str">
        <x:v>Data Card</x:v>
      </x:c>
      <x:c r="E111" s="22" t="str">
        <x:v>출처·전략·제한·평가 결과 설명</x:v>
      </x:c>
      <x:c r="F111" s="22" t="str">
        <x:v>지원 문서와 알려진 검색 한계 기록</x:v>
      </x:c>
      <x:c r="G111" s="22" t="str">
        <x:v>MVP</x:v>
      </x:c>
      <x:c r="H111" s="22" t="str">
        <x:v>초중급</x:v>
      </x:c>
      <x:c r="I111" s="22" t="str">
        <x:v>M09</x:v>
      </x:c>
      <x:c r="J111" s="22" t="str">
        <x:v>회원 09</x:v>
      </x:c>
      <x:c r="K111" s="22" t="str">
        <x:v>README/Data Card</x:v>
      </x:c>
      <x:c r="L111" s="22" t="str">
        <x:v>M12</x:v>
      </x:c>
      <x:c r="M111" s="22" t="str">
        <x:v>P4 검증</x:v>
      </x:c>
      <x:c r="N111" s="22" t="str">
        <x:v>미착수</x:v>
      </x:c>
      <x:c r="O111" s="22" t="str">
        <x:v>회원 08</x:v>
      </x:c>
      <x:c r="P111" s="22" t="str">
        <x:v>Data Card 기능이 예시 시나리오에서 동작하고 테스트 증거가 저장됨</x:v>
      </x:c>
    </x:row>
    <x:row r="112">
      <x:c r="A112" s="25" t="str">
        <x:v>M09-F12</x:v>
      </x:c>
      <x:c r="B112" s="22" t="str">
        <x:v>RAG 자산</x:v>
      </x:c>
      <x:c r="C112" s="22" t="str">
        <x:v>검증</x:v>
      </x:c>
      <x:c r="D112" s="22" t="str">
        <x:v>Smoke Test</x:v>
      </x:c>
      <x:c r="E112" s="22" t="str">
        <x:v>설치 직후 대표 검색 수행</x:v>
      </x:c>
      <x:c r="F112" s="22" t="str">
        <x:v>육아휴직 질문으로 정상 검색 확인</x:v>
      </x:c>
      <x:c r="G112" s="22" t="str">
        <x:v>MVP</x:v>
      </x:c>
      <x:c r="H112" s="22" t="str">
        <x:v>중급</x:v>
      </x:c>
      <x:c r="I112" s="22" t="str">
        <x:v>M09</x:v>
      </x:c>
      <x:c r="J112" s="22" t="str">
        <x:v>회원 09</x:v>
      </x:c>
      <x:c r="K112" s="22" t="str">
        <x:v>Smoke Test</x:v>
      </x:c>
      <x:c r="L112" s="22" t="str">
        <x:v>M08,M12</x:v>
      </x:c>
      <x:c r="M112" s="22" t="str">
        <x:v>P4 검증</x:v>
      </x:c>
      <x:c r="N112" s="22" t="str">
        <x:v>미착수</x:v>
      </x:c>
      <x:c r="O112" s="22" t="str">
        <x:v>회원 08</x:v>
      </x:c>
      <x:c r="P112" s="22" t="str">
        <x:v>Smoke Test 기능이 예시 시나리오에서 동작하고 테스트 증거가 저장됨</x:v>
      </x:c>
    </x:row>
    <x:row r="113">
      <x:c r="A113" s="25" t="str">
        <x:v>M10-F01</x:v>
      </x:c>
      <x:c r="B113" s="22" t="str">
        <x:v>MCP</x:v>
      </x:c>
      <x:c r="C113" s="22" t="str">
        <x:v>서버</x:v>
      </x:c>
      <x:c r="D113" s="22" t="str">
        <x:v>Server Bootstrap</x:v>
      </x:c>
      <x:c r="E113" s="22" t="str">
        <x:v>사업장 공용 MCP 서버 기본 구성</x:v>
      </x:c>
      <x:c r="F113" s="22" t="str">
        <x:v>Office MCP 서버 시작과 종료</x:v>
      </x:c>
      <x:c r="G113" s="22" t="str">
        <x:v>MVP</x:v>
      </x:c>
      <x:c r="H113" s="22" t="str">
        <x:v>고급</x:v>
      </x:c>
      <x:c r="I113" s="22" t="str">
        <x:v>M10</x:v>
      </x:c>
      <x:c r="J113" s="22" t="str">
        <x:v>회원 10</x:v>
      </x:c>
      <x:c r="K113" s="22" t="str">
        <x:v>MCP Server</x:v>
      </x:c>
      <x:c r="L113" s="22" t="str">
        <x:v>M06</x:v>
      </x:c>
      <x:c r="M113" s="22" t="str">
        <x:v>P1 설계</x:v>
      </x:c>
      <x:c r="N113" s="22" t="str">
        <x:v>미착수</x:v>
      </x:c>
      <x:c r="O113" s="22" t="str">
        <x:v>회원 11</x:v>
      </x:c>
      <x:c r="P113" s="22" t="str">
        <x:v>Server Bootstrap 기능이 예시 시나리오에서 동작하고 테스트 증거가 저장됨</x:v>
      </x:c>
    </x:row>
    <x:row r="114">
      <x:c r="A114" s="25" t="str">
        <x:v>M10-F02</x:v>
      </x:c>
      <x:c r="B114" s="22" t="str">
        <x:v>MCP</x:v>
      </x:c>
      <x:c r="C114" s="22" t="str">
        <x:v>Tool</x:v>
      </x:c>
      <x:c r="D114" s="22" t="str">
        <x:v>Tool Registry</x:v>
      </x:c>
      <x:c r="E114" s="22" t="str">
        <x:v>Tool 등록·조회·버전 관리</x:v>
      </x:c>
      <x:c r="F114" s="22" t="str">
        <x:v>db_metadata 1.0 등록</x:v>
      </x:c>
      <x:c r="G114" s="22" t="str">
        <x:v>MVP</x:v>
      </x:c>
      <x:c r="H114" s="22" t="str">
        <x:v>고급</x:v>
      </x:c>
      <x:c r="I114" s="22" t="str">
        <x:v>M10</x:v>
      </x:c>
      <x:c r="J114" s="22" t="str">
        <x:v>회원 10</x:v>
      </x:c>
      <x:c r="K114" s="22" t="str">
        <x:v>Tool Registry</x:v>
      </x:c>
      <x:c r="L114" s="22" t="str">
        <x:v>M06</x:v>
      </x:c>
      <x:c r="M114" s="22" t="str">
        <x:v>P2 개발</x:v>
      </x:c>
      <x:c r="N114" s="22" t="str">
        <x:v>미착수</x:v>
      </x:c>
      <x:c r="O114" s="22" t="str">
        <x:v>회원 11</x:v>
      </x:c>
      <x:c r="P114" s="22" t="str">
        <x:v>Tool Registry 기능이 예시 시나리오에서 동작하고 테스트 증거가 저장됨</x:v>
      </x:c>
    </x:row>
    <x:row r="115">
      <x:c r="A115" s="25" t="str">
        <x:v>M10-F03</x:v>
      </x:c>
      <x:c r="B115" s="22" t="str">
        <x:v>MCP</x:v>
      </x:c>
      <x:c r="C115" s="22" t="str">
        <x:v>Schema</x:v>
      </x:c>
      <x:c r="D115" s="22" t="str">
        <x:v>입력·출력 검증</x:v>
      </x:c>
      <x:c r="E115" s="22" t="str">
        <x:v>JSON Schema 기반 요청·응답 검사</x:v>
      </x:c>
      <x:c r="F115" s="22" t="str">
        <x:v>허용되지 않은 테이블명 거부</x:v>
      </x:c>
      <x:c r="G115" s="22" t="str">
        <x:v>MVP</x:v>
      </x:c>
      <x:c r="H115" s="22" t="str">
        <x:v>고급</x:v>
      </x:c>
      <x:c r="I115" s="22" t="str">
        <x:v>M10</x:v>
      </x:c>
      <x:c r="J115" s="22" t="str">
        <x:v>회원 10</x:v>
      </x:c>
      <x:c r="K115" s="22" t="str">
        <x:v>Schema Validator</x:v>
      </x:c>
      <x:c r="L115" s="22" t="str">
        <x:v>M06</x:v>
      </x:c>
      <x:c r="M115" s="22" t="str">
        <x:v>P2 개발</x:v>
      </x:c>
      <x:c r="N115" s="22" t="str">
        <x:v>미착수</x:v>
      </x:c>
      <x:c r="O115" s="22" t="str">
        <x:v>회원 11</x:v>
      </x:c>
      <x:c r="P115" s="22" t="str">
        <x:v>입력·출력 검증 기능이 예시 시나리오에서 동작하고 테스트 증거가 저장됨</x:v>
      </x:c>
    </x:row>
    <x:row r="116">
      <x:c r="A116" s="25" t="str">
        <x:v>M10-F04</x:v>
      </x:c>
      <x:c r="B116" s="22" t="str">
        <x:v>MCP</x:v>
      </x:c>
      <x:c r="C116" s="22" t="str">
        <x:v>인증</x:v>
      </x:c>
      <x:c r="D116" s="22" t="str">
        <x:v>사용자 Context</x:v>
      </x:c>
      <x:c r="E116" s="22" t="str">
        <x:v>사용자·조직·Agent 정보를 요청에 전달</x:v>
      </x:c>
      <x:c r="F116" s="22" t="str">
        <x:v>요청자의 부서와 Agent ID 확인</x:v>
      </x:c>
      <x:c r="G116" s="22" t="str">
        <x:v>확장</x:v>
      </x:c>
      <x:c r="H116" s="22" t="str">
        <x:v>고급</x:v>
      </x:c>
      <x:c r="I116" s="22" t="str">
        <x:v>M10</x:v>
      </x:c>
      <x:c r="J116" s="22" t="str">
        <x:v>회원 10</x:v>
      </x:c>
      <x:c r="K116" s="22" t="str">
        <x:v>Auth Context</x:v>
      </x:c>
      <x:c r="L116" s="22" t="str">
        <x:v>M11</x:v>
      </x:c>
      <x:c r="M116" s="22" t="str">
        <x:v>P3 통합</x:v>
      </x:c>
      <x:c r="N116" s="22" t="str">
        <x:v>미착수</x:v>
      </x:c>
      <x:c r="O116" s="22" t="str">
        <x:v>회원 11</x:v>
      </x:c>
      <x:c r="P116" s="22" t="str">
        <x:v>사용자 Context 기능이 예시 시나리오에서 동작하고 테스트 증거가 저장됨</x:v>
      </x:c>
    </x:row>
    <x:row r="117">
      <x:c r="A117" s="25" t="str">
        <x:v>M10-F05</x:v>
      </x:c>
      <x:c r="B117" s="22" t="str">
        <x:v>MCP</x:v>
      </x:c>
      <x:c r="C117" s="22" t="str">
        <x:v>권한</x:v>
      </x:c>
      <x:c r="D117" s="22" t="str">
        <x:v>RBAC·Allowlist</x:v>
      </x:c>
      <x:c r="E117" s="22" t="str">
        <x:v>Tool과 데이터 범위 접근 제어</x:v>
      </x:c>
      <x:c r="F117" s="22" t="str">
        <x:v>읽기 허용 테이블만 조회</x:v>
      </x:c>
      <x:c r="G117" s="22" t="str">
        <x:v>MVP</x:v>
      </x:c>
      <x:c r="H117" s="22" t="str">
        <x:v>고급</x:v>
      </x:c>
      <x:c r="I117" s="22" t="str">
        <x:v>M10</x:v>
      </x:c>
      <x:c r="J117" s="22" t="str">
        <x:v>회원 10</x:v>
      </x:c>
      <x:c r="K117" s="22" t="str">
        <x:v>Authorization</x:v>
      </x:c>
      <x:c r="L117" s="22" t="str">
        <x:v>M11</x:v>
      </x:c>
      <x:c r="M117" s="22" t="str">
        <x:v>P3 통합</x:v>
      </x:c>
      <x:c r="N117" s="22" t="str">
        <x:v>미착수</x:v>
      </x:c>
      <x:c r="O117" s="22" t="str">
        <x:v>회원 11</x:v>
      </x:c>
      <x:c r="P117" s="22" t="str">
        <x:v>RBAC·Allowlist 기능이 예시 시나리오에서 동작하고 테스트 증거가 저장됨</x:v>
      </x:c>
    </x:row>
    <x:row r="118">
      <x:c r="A118" s="25" t="str">
        <x:v>M10-F06</x:v>
      </x:c>
      <x:c r="B118" s="22" t="str">
        <x:v>MCP</x:v>
      </x:c>
      <x:c r="C118" s="22" t="str">
        <x:v>Connector</x:v>
      </x:c>
      <x:c r="D118" s="22" t="str">
        <x:v>Oracle Read-only</x:v>
      </x:c>
      <x:c r="E118" s="22" t="str">
        <x:v>Connection Pool과 읽기 전용 실행</x:v>
      </x:c>
      <x:c r="F118" s="22" t="str">
        <x:v>업무 DB Metadata 조회</x:v>
      </x:c>
      <x:c r="G118" s="22" t="str">
        <x:v>MVP</x:v>
      </x:c>
      <x:c r="H118" s="22" t="str">
        <x:v>고급</x:v>
      </x:c>
      <x:c r="I118" s="22" t="str">
        <x:v>M10</x:v>
      </x:c>
      <x:c r="J118" s="22" t="str">
        <x:v>회원 10</x:v>
      </x:c>
      <x:c r="K118" s="22" t="str">
        <x:v>Oracle Connector</x:v>
      </x:c>
      <x:c r="L118" s="22" t="str">
        <x:v>M11</x:v>
      </x:c>
      <x:c r="M118" s="22" t="str">
        <x:v>P2 개발</x:v>
      </x:c>
      <x:c r="N118" s="22" t="str">
        <x:v>미착수</x:v>
      </x:c>
      <x:c r="O118" s="22" t="str">
        <x:v>회원 11</x:v>
      </x:c>
      <x:c r="P118" s="22" t="str">
        <x:v>Oracle Read-only 기능이 예시 시나리오에서 동작하고 테스트 증거가 저장됨</x:v>
      </x:c>
    </x:row>
    <x:row r="119">
      <x:c r="A119" s="25" t="str">
        <x:v>M10-F07</x:v>
      </x:c>
      <x:c r="B119" s="22" t="str">
        <x:v>MCP</x:v>
      </x:c>
      <x:c r="C119" s="22" t="str">
        <x:v>Tool</x:v>
      </x:c>
      <x:c r="D119" s="22" t="str">
        <x:v>DB Metadata</x:v>
      </x:c>
      <x:c r="E119" s="22" t="str">
        <x:v>테이블·컬럼·프로시저 정보 조회</x:v>
      </x:c>
      <x:c r="F119" s="22" t="str">
        <x:v>Nexacro 화면 관련 컬럼 조회</x:v>
      </x:c>
      <x:c r="G119" s="22" t="str">
        <x:v>MVP</x:v>
      </x:c>
      <x:c r="H119" s="22" t="str">
        <x:v>중급</x:v>
      </x:c>
      <x:c r="I119" s="22" t="str">
        <x:v>M10</x:v>
      </x:c>
      <x:c r="J119" s="22" t="str">
        <x:v>회원 10</x:v>
      </x:c>
      <x:c r="K119" s="22" t="str">
        <x:v>db_metadata Tool</x:v>
      </x:c>
      <x:c r="L119" s="22" t="str">
        <x:v>Oracle Connector</x:v>
      </x:c>
      <x:c r="M119" s="22" t="str">
        <x:v>P2 개발</x:v>
      </x:c>
      <x:c r="N119" s="22" t="str">
        <x:v>미착수</x:v>
      </x:c>
      <x:c r="O119" s="22" t="str">
        <x:v>회원 11</x:v>
      </x:c>
      <x:c r="P119" s="22" t="str">
        <x:v>DB Metadata 기능이 예시 시나리오에서 동작하고 테스트 증거가 저장됨</x:v>
      </x:c>
    </x:row>
    <x:row r="120">
      <x:c r="A120" s="25" t="str">
        <x:v>M10-F08</x:v>
      </x:c>
      <x:c r="B120" s="22" t="str">
        <x:v>MCP</x:v>
      </x:c>
      <x:c r="C120" s="22" t="str">
        <x:v>Tool</x:v>
      </x:c>
      <x:c r="D120" s="22" t="str">
        <x:v>Table Count</x:v>
      </x:c>
      <x:c r="E120" s="22" t="str">
        <x:v>허용 테이블 건수 조회</x:v>
      </x:c>
      <x:c r="F120" s="22" t="str">
        <x:v>인터페이스 처리 건수 확인</x:v>
      </x:c>
      <x:c r="G120" s="22" t="str">
        <x:v>MVP</x:v>
      </x:c>
      <x:c r="H120" s="22" t="str">
        <x:v>중급</x:v>
      </x:c>
      <x:c r="I120" s="22" t="str">
        <x:v>M10</x:v>
      </x:c>
      <x:c r="J120" s="22" t="str">
        <x:v>회원 10</x:v>
      </x:c>
      <x:c r="K120" s="22" t="str">
        <x:v>table_count Tool</x:v>
      </x:c>
      <x:c r="L120" s="22" t="str">
        <x:v>Oracle Connector</x:v>
      </x:c>
      <x:c r="M120" s="22" t="str">
        <x:v>P2 개발</x:v>
      </x:c>
      <x:c r="N120" s="22" t="str">
        <x:v>미착수</x:v>
      </x:c>
      <x:c r="O120" s="22" t="str">
        <x:v>회원 11</x:v>
      </x:c>
      <x:c r="P120" s="22" t="str">
        <x:v>Table Count 기능이 예시 시나리오에서 동작하고 테스트 증거가 저장됨</x:v>
      </x:c>
    </x:row>
    <x:row r="121">
      <x:c r="A121" s="25" t="str">
        <x:v>M10-F09</x:v>
      </x:c>
      <x:c r="B121" s="22" t="str">
        <x:v>MCP</x:v>
      </x:c>
      <x:c r="C121" s="22" t="str">
        <x:v>실행</x:v>
      </x:c>
      <x:c r="D121" s="22" t="str">
        <x:v>Timeout·Rate·Size</x:v>
      </x:c>
      <x:c r="E121" s="22" t="str">
        <x:v>수행시간·호출량·결과 크기 제한</x:v>
      </x:c>
      <x:c r="F121" s="22" t="str">
        <x:v>10초 초과 조회 중단</x:v>
      </x:c>
      <x:c r="G121" s="22" t="str">
        <x:v>MVP</x:v>
      </x:c>
      <x:c r="H121" s="22" t="str">
        <x:v>고급</x:v>
      </x:c>
      <x:c r="I121" s="22" t="str">
        <x:v>M10</x:v>
      </x:c>
      <x:c r="J121" s="22" t="str">
        <x:v>회원 10</x:v>
      </x:c>
      <x:c r="K121" s="22" t="str">
        <x:v>Execution Guard</x:v>
      </x:c>
      <x:c r="L121" s="22" t="str">
        <x:v>M11</x:v>
      </x:c>
      <x:c r="M121" s="22" t="str">
        <x:v>P3 통합</x:v>
      </x:c>
      <x:c r="N121" s="22" t="str">
        <x:v>미착수</x:v>
      </x:c>
      <x:c r="O121" s="22" t="str">
        <x:v>회원 11</x:v>
      </x:c>
      <x:c r="P121" s="22" t="str">
        <x:v>Timeout·Rate·Size 기능이 예시 시나리오에서 동작하고 테스트 증거가 저장됨</x:v>
      </x:c>
    </x:row>
    <x:row r="122">
      <x:c r="A122" s="25" t="str">
        <x:v>M10-F10</x:v>
      </x:c>
      <x:c r="B122" s="22" t="str">
        <x:v>MCP</x:v>
      </x:c>
      <x:c r="C122" s="22" t="str">
        <x:v>출력</x:v>
      </x:c>
      <x:c r="D122" s="22" t="str">
        <x:v>Masking</x:v>
      </x:c>
      <x:c r="E122" s="22" t="str">
        <x:v>민감 컬럼과 오류정보 제거</x:v>
      </x:c>
      <x:c r="F122" s="22" t="str">
        <x:v>주민번호 일부 마스킹</x:v>
      </x:c>
      <x:c r="G122" s="22" t="str">
        <x:v>확장</x:v>
      </x:c>
      <x:c r="H122" s="22" t="str">
        <x:v>고급</x:v>
      </x:c>
      <x:c r="I122" s="22" t="str">
        <x:v>M10</x:v>
      </x:c>
      <x:c r="J122" s="22" t="str">
        <x:v>회원 10</x:v>
      </x:c>
      <x:c r="K122" s="22" t="str">
        <x:v>Output Filter</x:v>
      </x:c>
      <x:c r="L122" s="22" t="str">
        <x:v>M11</x:v>
      </x:c>
      <x:c r="M122" s="22" t="str">
        <x:v>P3 통합</x:v>
      </x:c>
      <x:c r="N122" s="22" t="str">
        <x:v>미착수</x:v>
      </x:c>
      <x:c r="O122" s="22" t="str">
        <x:v>회원 11</x:v>
      </x:c>
      <x:c r="P122" s="22" t="str">
        <x:v>Masking 기능이 예시 시나리오에서 동작하고 테스트 증거가 저장됨</x:v>
      </x:c>
    </x:row>
    <x:row r="123">
      <x:c r="A123" s="25" t="str">
        <x:v>M10-F11</x:v>
      </x:c>
      <x:c r="B123" s="22" t="str">
        <x:v>MCP</x:v>
      </x:c>
      <x:c r="C123" s="22" t="str">
        <x:v>감사</x:v>
      </x:c>
      <x:c r="D123" s="22" t="str">
        <x:v>Correlation Log</x:v>
      </x:c>
      <x:c r="E123" s="22" t="str">
        <x:v>사용자·Agent·Tool·결과 상태 기록</x:v>
      </x:c>
      <x:c r="F123" s="22" t="str">
        <x:v>Agent Trace와 Tool 호출 연결</x:v>
      </x:c>
      <x:c r="G123" s="22" t="str">
        <x:v>MVP</x:v>
      </x:c>
      <x:c r="H123" s="22" t="str">
        <x:v>중급</x:v>
      </x:c>
      <x:c r="I123" s="22" t="str">
        <x:v>M10</x:v>
      </x:c>
      <x:c r="J123" s="22" t="str">
        <x:v>회원 10</x:v>
      </x:c>
      <x:c r="K123" s="22" t="str">
        <x:v>Audit Logger</x:v>
      </x:c>
      <x:c r="L123" s="22" t="str">
        <x:v>M11</x:v>
      </x:c>
      <x:c r="M123" s="22" t="str">
        <x:v>P3 통합</x:v>
      </x:c>
      <x:c r="N123" s="22" t="str">
        <x:v>미착수</x:v>
      </x:c>
      <x:c r="O123" s="22" t="str">
        <x:v>회원 11</x:v>
      </x:c>
      <x:c r="P123" s="22" t="str">
        <x:v>Correlation Log 기능이 예시 시나리오에서 동작하고 테스트 증거가 저장됨</x:v>
      </x:c>
    </x:row>
    <x:row r="124">
      <x:c r="A124" s="25" t="str">
        <x:v>M10-F12</x:v>
      </x:c>
      <x:c r="B124" s="22" t="str">
        <x:v>MCP</x:v>
      </x:c>
      <x:c r="C124" s="22" t="str">
        <x:v>운영</x:v>
      </x:c>
      <x:c r="D124" s="22" t="str">
        <x:v>Health·Version·Kill Switch</x:v>
      </x:c>
      <x:c r="E124" s="22" t="str">
        <x:v>상태·버전·긴급 중단 제공</x:v>
      </x:c>
      <x:c r="F124" s="22" t="str">
        <x:v>위험 Tool 즉시 비활성화</x:v>
      </x:c>
      <x:c r="G124" s="22" t="str">
        <x:v>MVP</x:v>
      </x:c>
      <x:c r="H124" s="22" t="str">
        <x:v>고급</x:v>
      </x:c>
      <x:c r="I124" s="22" t="str">
        <x:v>M10</x:v>
      </x:c>
      <x:c r="J124" s="22" t="str">
        <x:v>회원 10</x:v>
      </x:c>
      <x:c r="K124" s="22" t="str">
        <x:v>Operations API</x:v>
      </x:c>
      <x:c r="L124" s="22" t="str">
        <x:v>M11,M12</x:v>
      </x:c>
      <x:c r="M124" s="22" t="str">
        <x:v>P4 검증</x:v>
      </x:c>
      <x:c r="N124" s="22" t="str">
        <x:v>미착수</x:v>
      </x:c>
      <x:c r="O124" s="22" t="str">
        <x:v>회원 11</x:v>
      </x:c>
      <x:c r="P124" s="22" t="str">
        <x:v>Health·Version·Kill Switch 기능이 예시 시나리오에서 동작하고 테스트 증거가 저장됨</x:v>
      </x:c>
    </x:row>
    <x:row r="125">
      <x:c r="A125" s="25" t="str">
        <x:v>M11-F01</x:v>
      </x:c>
      <x:c r="B125" s="22" t="str">
        <x:v>보안</x:v>
      </x:c>
      <x:c r="C125" s="22" t="str">
        <x:v>접근</x:v>
      </x:c>
      <x:c r="D125" s="22" t="str">
        <x:v>Portal RBAC</x:v>
      </x:c>
      <x:c r="E125" s="22" t="str">
        <x:v>사용자·개발자·검토자·관리자 역할</x:v>
      </x:c>
      <x:c r="F125" s="22" t="str">
        <x:v>일반 사용자는 승인 기능 접근 불가</x:v>
      </x:c>
      <x:c r="G125" s="22" t="str">
        <x:v>MVP</x:v>
      </x:c>
      <x:c r="H125" s="22" t="str">
        <x:v>고급</x:v>
      </x:c>
      <x:c r="I125" s="22" t="str">
        <x:v>M11</x:v>
      </x:c>
      <x:c r="J125" s="22" t="str">
        <x:v>회원 11</x:v>
      </x:c>
      <x:c r="K125" s="22" t="str">
        <x:v>RBAC Policy</x:v>
      </x:c>
      <x:c r="L125" s="22" t="str">
        <x:v>M02</x:v>
      </x:c>
      <x:c r="M125" s="22" t="str">
        <x:v>P1 설계</x:v>
      </x:c>
      <x:c r="N125" s="22" t="str">
        <x:v>미착수</x:v>
      </x:c>
      <x:c r="O125" s="22" t="str">
        <x:v>회원 02</x:v>
      </x:c>
      <x:c r="P125" s="22" t="str">
        <x:v>Portal RBAC 기능이 예시 시나리오에서 동작하고 테스트 증거가 저장됨</x:v>
      </x:c>
    </x:row>
    <x:row r="126">
      <x:c r="A126" s="25" t="str">
        <x:v>M11-F02</x:v>
      </x:c>
      <x:c r="B126" s="22" t="str">
        <x:v>보안</x:v>
      </x:c>
      <x:c r="C126" s="22" t="str">
        <x:v>거버넌스</x:v>
      </x:c>
      <x:c r="D126" s="22" t="str">
        <x:v>승인 Workflow</x:v>
      </x:c>
      <x:c r="E126" s="22" t="str">
        <x:v>기술·보안·운영 검토 단계</x:v>
      </x:c>
      <x:c r="F126" s="22" t="str">
        <x:v>MCP Tool은 보안 검토 후 배포</x:v>
      </x:c>
      <x:c r="G126" s="22" t="str">
        <x:v>MVP</x:v>
      </x:c>
      <x:c r="H126" s="22" t="str">
        <x:v>고급</x:v>
      </x:c>
      <x:c r="I126" s="22" t="str">
        <x:v>M11</x:v>
      </x:c>
      <x:c r="J126" s="22" t="str">
        <x:v>회원 11</x:v>
      </x:c>
      <x:c r="K126" s="22" t="str">
        <x:v>Approval Policy</x:v>
      </x:c>
      <x:c r="L126" s="22" t="str">
        <x:v>M02</x:v>
      </x:c>
      <x:c r="M126" s="22" t="str">
        <x:v>P1 설계</x:v>
      </x:c>
      <x:c r="N126" s="22" t="str">
        <x:v>미착수</x:v>
      </x:c>
      <x:c r="O126" s="22" t="str">
        <x:v>회원 02</x:v>
      </x:c>
      <x:c r="P126" s="22" t="str">
        <x:v>승인 Workflow 기능이 예시 시나리오에서 동작하고 테스트 증거가 저장됨</x:v>
      </x:c>
    </x:row>
    <x:row r="127">
      <x:c r="A127" s="25" t="str">
        <x:v>M11-F03</x:v>
      </x:c>
      <x:c r="B127" s="22" t="str">
        <x:v>보안</x:v>
      </x:c>
      <x:c r="C127" s="22" t="str">
        <x:v>데이터</x:v>
      </x:c>
      <x:c r="D127" s="22" t="str">
        <x:v>등급·ACL</x:v>
      </x:c>
      <x:c r="E127" s="22" t="str">
        <x:v>자산 보안등급과 조직 범위</x:v>
      </x:c>
      <x:c r="F127" s="22" t="str">
        <x:v>HR RAG를 HR 조직에만 노출</x:v>
      </x:c>
      <x:c r="G127" s="22" t="str">
        <x:v>확장</x:v>
      </x:c>
      <x:c r="H127" s="22" t="str">
        <x:v>고급</x:v>
      </x:c>
      <x:c r="I127" s="22" t="str">
        <x:v>M11</x:v>
      </x:c>
      <x:c r="J127" s="22" t="str">
        <x:v>회원 11</x:v>
      </x:c>
      <x:c r="K127" s="22" t="str">
        <x:v>Asset ACL</x:v>
      </x:c>
      <x:c r="L127" s="22" t="str">
        <x:v>M02,M08</x:v>
      </x:c>
      <x:c r="M127" s="22" t="str">
        <x:v>P2 개발</x:v>
      </x:c>
      <x:c r="N127" s="22" t="str">
        <x:v>미착수</x:v>
      </x:c>
      <x:c r="O127" s="22" t="str">
        <x:v>회원 02</x:v>
      </x:c>
      <x:c r="P127" s="22" t="str">
        <x:v>등급·ACL 기능이 예시 시나리오에서 동작하고 테스트 증거가 저장됨</x:v>
      </x:c>
    </x:row>
    <x:row r="128">
      <x:c r="A128" s="25" t="str">
        <x:v>M11-F04</x:v>
      </x:c>
      <x:c r="B128" s="22" t="str">
        <x:v>보안</x:v>
      </x:c>
      <x:c r="C128" s="22" t="str">
        <x:v>무결성</x:v>
      </x:c>
      <x:c r="D128" s="22" t="str">
        <x:v>Checksum Policy</x:v>
      </x:c>
      <x:c r="E128" s="22" t="str">
        <x:v>생성·검증·실패 처리 규칙</x:v>
      </x:c>
      <x:c r="F128" s="22" t="str">
        <x:v>SHA-256 불일치 시 설치 차단</x:v>
      </x:c>
      <x:c r="G128" s="22" t="str">
        <x:v>MVP</x:v>
      </x:c>
      <x:c r="H128" s="22" t="str">
        <x:v>중급</x:v>
      </x:c>
      <x:c r="I128" s="22" t="str">
        <x:v>M11</x:v>
      </x:c>
      <x:c r="J128" s="22" t="str">
        <x:v>회원 11</x:v>
      </x:c>
      <x:c r="K128" s="22" t="str">
        <x:v>Checksum Policy</x:v>
      </x:c>
      <x:c r="L128" s="22" t="str">
        <x:v>M03,M04</x:v>
      </x:c>
      <x:c r="M128" s="22" t="str">
        <x:v>P1 설계</x:v>
      </x:c>
      <x:c r="N128" s="22" t="str">
        <x:v>미착수</x:v>
      </x:c>
      <x:c r="O128" s="22" t="str">
        <x:v>회원 02</x:v>
      </x:c>
      <x:c r="P128" s="22" t="str">
        <x:v>Checksum Policy 기능이 예시 시나리오에서 동작하고 테스트 증거가 저장됨</x:v>
      </x:c>
    </x:row>
    <x:row r="129">
      <x:c r="A129" s="25" t="str">
        <x:v>M11-F05</x:v>
      </x:c>
      <x:c r="B129" s="22" t="str">
        <x:v>보안</x:v>
      </x:c>
      <x:c r="C129" s="22" t="str">
        <x:v>신뢰</x:v>
      </x:c>
      <x:c r="D129" s="22" t="str">
        <x:v>Signature·Trust Store</x:v>
      </x:c>
      <x:c r="E129" s="22" t="str">
        <x:v>서명 발급·검증·신뢰키 관리</x:v>
      </x:c>
      <x:c r="F129" s="22" t="str">
        <x:v>승인 포털이 서명한 패키지만 실행</x:v>
      </x:c>
      <x:c r="G129" s="22" t="str">
        <x:v>확장</x:v>
      </x:c>
      <x:c r="H129" s="22" t="str">
        <x:v>고급</x:v>
      </x:c>
      <x:c r="I129" s="22" t="str">
        <x:v>M11</x:v>
      </x:c>
      <x:c r="J129" s="22" t="str">
        <x:v>회원 11</x:v>
      </x:c>
      <x:c r="K129" s="22" t="str">
        <x:v>Signing Policy</x:v>
      </x:c>
      <x:c r="L129" s="22" t="str">
        <x:v>M03,M04</x:v>
      </x:c>
      <x:c r="M129" s="22" t="str">
        <x:v>P3 통합</x:v>
      </x:c>
      <x:c r="N129" s="22" t="str">
        <x:v>미착수</x:v>
      </x:c>
      <x:c r="O129" s="22" t="str">
        <x:v>회원 02</x:v>
      </x:c>
      <x:c r="P129" s="22" t="str">
        <x:v>Signature·Trust Store 기능이 예시 시나리오에서 동작하고 테스트 증거가 저장됨</x:v>
      </x:c>
    </x:row>
    <x:row r="130">
      <x:c r="A130" s="25" t="str">
        <x:v>M11-F06</x:v>
      </x:c>
      <x:c r="B130" s="22" t="str">
        <x:v>보안</x:v>
      </x:c>
      <x:c r="C130" s="22" t="str">
        <x:v>공급망</x:v>
      </x:c>
      <x:c r="D130" s="22" t="str">
        <x:v>의존성 검사 Hook</x:v>
      </x:c>
      <x:c r="E130" s="22" t="str">
        <x:v>취약 라이브러리와 라이선스 검사</x:v>
      </x:c>
      <x:c r="F130" s="22" t="str">
        <x:v>고위험 Python 패키지 등록 차단</x:v>
      </x:c>
      <x:c r="G130" s="22" t="str">
        <x:v>확장</x:v>
      </x:c>
      <x:c r="H130" s="22" t="str">
        <x:v>고급</x:v>
      </x:c>
      <x:c r="I130" s="22" t="str">
        <x:v>M11</x:v>
      </x:c>
      <x:c r="J130" s="22" t="str">
        <x:v>회원 11</x:v>
      </x:c>
      <x:c r="K130" s="22" t="str">
        <x:v>Scan Hook</x:v>
      </x:c>
      <x:c r="L130" s="22" t="str">
        <x:v>M02</x:v>
      </x:c>
      <x:c r="M130" s="22" t="str">
        <x:v>P4 검증</x:v>
      </x:c>
      <x:c r="N130" s="22" t="str">
        <x:v>미착수</x:v>
      </x:c>
      <x:c r="O130" s="22" t="str">
        <x:v>회원 02</x:v>
      </x:c>
      <x:c r="P130" s="22" t="str">
        <x:v>의존성 검사 Hook 기능이 예시 시나리오에서 동작하고 테스트 증거가 저장됨</x:v>
      </x:c>
    </x:row>
    <x:row r="131">
      <x:c r="A131" s="25" t="str">
        <x:v>M11-F07</x:v>
      </x:c>
      <x:c r="B131" s="22" t="str">
        <x:v>보안</x:v>
      </x:c>
      <x:c r="C131" s="22" t="str">
        <x:v>실행</x:v>
      </x:c>
      <x:c r="D131" s="22" t="str">
        <x:v>Secret Policy</x:v>
      </x:c>
      <x:c r="E131" s="22" t="str">
        <x:v>계정정보를 패키지 밖에서 주입</x:v>
      </x:c>
      <x:c r="F131" s="22" t="str">
        <x:v>DB 비밀번호를 Office Profile에 저장 금지</x:v>
      </x:c>
      <x:c r="G131" s="22" t="str">
        <x:v>MVP</x:v>
      </x:c>
      <x:c r="H131" s="22" t="str">
        <x:v>고급</x:v>
      </x:c>
      <x:c r="I131" s="22" t="str">
        <x:v>M11</x:v>
      </x:c>
      <x:c r="J131" s="22" t="str">
        <x:v>회원 11</x:v>
      </x:c>
      <x:c r="K131" s="22" t="str">
        <x:v>Secret Guide</x:v>
      </x:c>
      <x:c r="L131" s="22" t="str">
        <x:v>M05,M10</x:v>
      </x:c>
      <x:c r="M131" s="22" t="str">
        <x:v>P2 개발</x:v>
      </x:c>
      <x:c r="N131" s="22" t="str">
        <x:v>미착수</x:v>
      </x:c>
      <x:c r="O131" s="22" t="str">
        <x:v>회원 02</x:v>
      </x:c>
      <x:c r="P131" s="22" t="str">
        <x:v>Secret Policy 기능이 예시 시나리오에서 동작하고 테스트 증거가 저장됨</x:v>
      </x:c>
    </x:row>
    <x:row r="132">
      <x:c r="A132" s="25" t="str">
        <x:v>M11-F08</x:v>
      </x:c>
      <x:c r="B132" s="22" t="str">
        <x:v>보안</x:v>
      </x:c>
      <x:c r="C132" s="22" t="str">
        <x:v>Agent</x:v>
      </x:c>
      <x:c r="D132" s="22" t="str">
        <x:v>Prompt·Tool 정책</x:v>
      </x:c>
      <x:c r="E132" s="22" t="str">
        <x:v>Prompt Injection과 임의 Tool 호출 제한</x:v>
      </x:c>
      <x:c r="F132" s="22" t="str">
        <x:v>문서 속 명령이 MCP 실행을 유도해도 차단</x:v>
      </x:c>
      <x:c r="G132" s="22" t="str">
        <x:v>MVP</x:v>
      </x:c>
      <x:c r="H132" s="22" t="str">
        <x:v>고급</x:v>
      </x:c>
      <x:c r="I132" s="22" t="str">
        <x:v>M11</x:v>
      </x:c>
      <x:c r="J132" s="22" t="str">
        <x:v>회원 11</x:v>
      </x:c>
      <x:c r="K132" s="22" t="str">
        <x:v>Agent Security Policy</x:v>
      </x:c>
      <x:c r="L132" s="22" t="str">
        <x:v>M05,M10</x:v>
      </x:c>
      <x:c r="M132" s="22" t="str">
        <x:v>P3 통합</x:v>
      </x:c>
      <x:c r="N132" s="22" t="str">
        <x:v>미착수</x:v>
      </x:c>
      <x:c r="O132" s="22" t="str">
        <x:v>회원 02</x:v>
      </x:c>
      <x:c r="P132" s="22" t="str">
        <x:v>Prompt·Tool 정책 기능이 예시 시나리오에서 동작하고 테스트 증거가 저장됨</x:v>
      </x:c>
    </x:row>
    <x:row r="133">
      <x:c r="A133" s="25" t="str">
        <x:v>M11-F09</x:v>
      </x:c>
      <x:c r="B133" s="22" t="str">
        <x:v>보안</x:v>
      </x:c>
      <x:c r="C133" s="22" t="str">
        <x:v>감사</x:v>
      </x:c>
      <x:c r="D133" s="22" t="str">
        <x:v>Audit Schema</x:v>
      </x:c>
      <x:c r="E133" s="22" t="str">
        <x:v>Portal·Runtime·MCP 공통 로그 필드</x:v>
      </x:c>
      <x:c r="F133" s="22" t="str">
        <x:v>user/asset/tool/trace/time/status 기록</x:v>
      </x:c>
      <x:c r="G133" s="22" t="str">
        <x:v>MVP</x:v>
      </x:c>
      <x:c r="H133" s="22" t="str">
        <x:v>중급</x:v>
      </x:c>
      <x:c r="I133" s="22" t="str">
        <x:v>M11</x:v>
      </x:c>
      <x:c r="J133" s="22" t="str">
        <x:v>회원 11</x:v>
      </x:c>
      <x:c r="K133" s="22" t="str">
        <x:v>Audit Schema</x:v>
      </x:c>
      <x:c r="L133" s="22" t="str">
        <x:v>M02,M05,M10</x:v>
      </x:c>
      <x:c r="M133" s="22" t="str">
        <x:v>P1 설계</x:v>
      </x:c>
      <x:c r="N133" s="22" t="str">
        <x:v>미착수</x:v>
      </x:c>
      <x:c r="O133" s="22" t="str">
        <x:v>회원 02</x:v>
      </x:c>
      <x:c r="P133" s="22" t="str">
        <x:v>Audit Schema 기능이 예시 시나리오에서 동작하고 테스트 증거가 저장됨</x:v>
      </x:c>
    </x:row>
    <x:row r="134">
      <x:c r="A134" s="25" t="str">
        <x:v>M11-F10</x:v>
      </x:c>
      <x:c r="B134" s="22" t="str">
        <x:v>보안</x:v>
      </x:c>
      <x:c r="C134" s="22" t="str">
        <x:v>개인정보</x:v>
      </x:c>
      <x:c r="D134" s="22" t="str">
        <x:v>Masking·Retention</x:v>
      </x:c>
      <x:c r="E134" s="22" t="str">
        <x:v>로그 민감정보 제거와 보관기간</x:v>
      </x:c>
      <x:c r="F134" s="22" t="str">
        <x:v>질문 속 계정번호 마스킹</x:v>
      </x:c>
      <x:c r="G134" s="22" t="str">
        <x:v>확장</x:v>
      </x:c>
      <x:c r="H134" s="22" t="str">
        <x:v>고급</x:v>
      </x:c>
      <x:c r="I134" s="22" t="str">
        <x:v>M11</x:v>
      </x:c>
      <x:c r="J134" s="22" t="str">
        <x:v>회원 11</x:v>
      </x:c>
      <x:c r="K134" s="22" t="str">
        <x:v>Data Handling Policy</x:v>
      </x:c>
      <x:c r="L134" s="22" t="str">
        <x:v>M10</x:v>
      </x:c>
      <x:c r="M134" s="22" t="str">
        <x:v>P4 검증</x:v>
      </x:c>
      <x:c r="N134" s="22" t="str">
        <x:v>미착수</x:v>
      </x:c>
      <x:c r="O134" s="22" t="str">
        <x:v>회원 02</x:v>
      </x:c>
      <x:c r="P134" s="22" t="str">
        <x:v>Masking·Retention 기능이 예시 시나리오에서 동작하고 테스트 증거가 저장됨</x:v>
      </x:c>
    </x:row>
    <x:row r="135">
      <x:c r="A135" s="25" t="str">
        <x:v>M11-F11</x:v>
      </x:c>
      <x:c r="B135" s="22" t="str">
        <x:v>보안</x:v>
      </x:c>
      <x:c r="C135" s="22" t="str">
        <x:v>사고대응</x:v>
      </x:c>
      <x:c r="D135" s="22" t="str">
        <x:v>Revocation·Kill Switch</x:v>
      </x:c>
      <x:c r="E135" s="22" t="str">
        <x:v>문제 자산의 배포·실행 중지</x:v>
      </x:c>
      <x:c r="F135" s="22" t="str">
        <x:v>취약 MCP 1.0 즉시 차단</x:v>
      </x:c>
      <x:c r="G135" s="22" t="str">
        <x:v>확장</x:v>
      </x:c>
      <x:c r="H135" s="22" t="str">
        <x:v>고급</x:v>
      </x:c>
      <x:c r="I135" s="22" t="str">
        <x:v>M11</x:v>
      </x:c>
      <x:c r="J135" s="22" t="str">
        <x:v>회원 11</x:v>
      </x:c>
      <x:c r="K135" s="22" t="str">
        <x:v>Revocation Policy</x:v>
      </x:c>
      <x:c r="L135" s="22" t="str">
        <x:v>M02,M03,M10</x:v>
      </x:c>
      <x:c r="M135" s="22" t="str">
        <x:v>P4 검증</x:v>
      </x:c>
      <x:c r="N135" s="22" t="str">
        <x:v>미착수</x:v>
      </x:c>
      <x:c r="O135" s="22" t="str">
        <x:v>회원 02</x:v>
      </x:c>
      <x:c r="P135" s="22" t="str">
        <x:v>Revocation·Kill Switch 기능이 예시 시나리오에서 동작하고 테스트 증거가 저장됨</x:v>
      </x:c>
    </x:row>
    <x:row r="136">
      <x:c r="A136" s="25" t="str">
        <x:v>M11-F12</x:v>
      </x:c>
      <x:c r="B136" s="22" t="str">
        <x:v>보안</x:v>
      </x:c>
      <x:c r="C136" s="22" t="str">
        <x:v>검증</x:v>
      </x:c>
      <x:c r="D136" s="22" t="str">
        <x:v>위협 시나리오 테스트</x:v>
      </x:c>
      <x:c r="E136" s="22" t="str">
        <x:v>변조·권한상승·Injection 테스트</x:v>
      </x:c>
      <x:c r="F136" s="22" t="str">
        <x:v>승인되지 않은 ZIP 설치 시도</x:v>
      </x:c>
      <x:c r="G136" s="22" t="str">
        <x:v>MVP</x:v>
      </x:c>
      <x:c r="H136" s="22" t="str">
        <x:v>고급</x:v>
      </x:c>
      <x:c r="I136" s="22" t="str">
        <x:v>M11</x:v>
      </x:c>
      <x:c r="J136" s="22" t="str">
        <x:v>회원 11</x:v>
      </x:c>
      <x:c r="K136" s="22" t="str">
        <x:v>Security Test Cases</x:v>
      </x:c>
      <x:c r="L136" s="22" t="str">
        <x:v>M12</x:v>
      </x:c>
      <x:c r="M136" s="22" t="str">
        <x:v>P4 검증</x:v>
      </x:c>
      <x:c r="N136" s="22" t="str">
        <x:v>미착수</x:v>
      </x:c>
      <x:c r="O136" s="22" t="str">
        <x:v>회원 02</x:v>
      </x:c>
      <x:c r="P136" s="22" t="str">
        <x:v>위협 시나리오 테스트 기능이 예시 시나리오에서 동작하고 테스트 증거가 저장됨</x:v>
      </x:c>
    </x:row>
    <x:row r="137">
      <x:c r="A137" s="25" t="str">
        <x:v>M12-F01</x:v>
      </x:c>
      <x:c r="B137" s="22" t="str">
        <x:v>통합</x:v>
      </x:c>
      <x:c r="C137" s="22" t="str">
        <x:v>계획</x:v>
      </x:c>
      <x:c r="D137" s="22" t="str">
        <x:v>Test Strategy</x:v>
      </x:c>
      <x:c r="E137" s="22" t="str">
        <x:v>단위·계약·통합·인수 테스트 기준</x:v>
      </x:c>
      <x:c r="F137" s="22" t="str">
        <x:v>모듈별 Done 정의 통일</x:v>
      </x:c>
      <x:c r="G137" s="22" t="str">
        <x:v>MVP</x:v>
      </x:c>
      <x:c r="H137" s="22" t="str">
        <x:v>중급</x:v>
      </x:c>
      <x:c r="I137" s="22" t="str">
        <x:v>M12</x:v>
      </x:c>
      <x:c r="J137" s="22" t="str">
        <x:v>회원 12</x:v>
      </x:c>
      <x:c r="K137" s="22" t="str">
        <x:v>Test Plan</x:v>
      </x:c>
      <x:c r="L137" s="22" t="str">
        <x:v>전 모듈</x:v>
      </x:c>
      <x:c r="M137" s="22" t="str">
        <x:v>P1 설계</x:v>
      </x:c>
      <x:c r="N137" s="22" t="str">
        <x:v>미착수</x:v>
      </x:c>
      <x:c r="O137" s="22" t="str">
        <x:v>회원 05</x:v>
      </x:c>
      <x:c r="P137" s="22" t="str">
        <x:v>Test Strategy 기능이 예시 시나리오에서 동작하고 테스트 증거가 저장됨</x:v>
      </x:c>
    </x:row>
    <x:row r="138">
      <x:c r="A138" s="25" t="str">
        <x:v>M12-F02</x:v>
      </x:c>
      <x:c r="B138" s="22" t="str">
        <x:v>통합</x:v>
      </x:c>
      <x:c r="C138" s="22" t="str">
        <x:v>계약</x:v>
      </x:c>
      <x:c r="D138" s="22" t="str">
        <x:v>Contract Test</x:v>
      </x:c>
      <x:c r="E138" s="22" t="str">
        <x:v>API·Manifest·Schema 호환 자동 검사</x:v>
      </x:c>
      <x:c r="F138" s="22" t="str">
        <x:v>Portal API와 Desktop 모델 일치 확인</x:v>
      </x:c>
      <x:c r="G138" s="22" t="str">
        <x:v>MVP</x:v>
      </x:c>
      <x:c r="H138" s="22" t="str">
        <x:v>중급</x:v>
      </x:c>
      <x:c r="I138" s="22" t="str">
        <x:v>M12</x:v>
      </x:c>
      <x:c r="J138" s="22" t="str">
        <x:v>회원 12</x:v>
      </x:c>
      <x:c r="K138" s="22" t="str">
        <x:v>Contract Tests</x:v>
      </x:c>
      <x:c r="L138" s="22" t="str">
        <x:v>M02,M06</x:v>
      </x:c>
      <x:c r="M138" s="22" t="str">
        <x:v>P2 개발</x:v>
      </x:c>
      <x:c r="N138" s="22" t="str">
        <x:v>미착수</x:v>
      </x:c>
      <x:c r="O138" s="22" t="str">
        <x:v>회원 05</x:v>
      </x:c>
      <x:c r="P138" s="22" t="str">
        <x:v>Contract Test 기능이 예시 시나리오에서 동작하고 테스트 증거가 저장됨</x:v>
      </x:c>
    </x:row>
    <x:row r="139">
      <x:c r="A139" s="25" t="str">
        <x:v>M12-F03</x:v>
      </x:c>
      <x:c r="B139" s="22" t="str">
        <x:v>통합</x:v>
      </x:c>
      <x:c r="C139" s="22" t="str">
        <x:v>E2E</x:v>
      </x:c>
      <x:c r="D139" s="22" t="str">
        <x:v>대표 시나리오</x:v>
      </x:c>
      <x:c r="E139" s="22" t="str">
        <x:v>등록→번들→설치→검색→Tool→답변</x:v>
      </x:c>
      <x:c r="F139" s="22" t="str">
        <x:v>Nexacro Agent 전체 흐름 자동 검증</x:v>
      </x:c>
      <x:c r="G139" s="22" t="str">
        <x:v>MVP</x:v>
      </x:c>
      <x:c r="H139" s="22" t="str">
        <x:v>고급</x:v>
      </x:c>
      <x:c r="I139" s="22" t="str">
        <x:v>M12</x:v>
      </x:c>
      <x:c r="J139" s="22" t="str">
        <x:v>회원 12</x:v>
      </x:c>
      <x:c r="K139" s="22" t="str">
        <x:v>E2E Suite</x:v>
      </x:c>
      <x:c r="L139" s="22" t="str">
        <x:v>전 모듈</x:v>
      </x:c>
      <x:c r="M139" s="22" t="str">
        <x:v>P3 통합</x:v>
      </x:c>
      <x:c r="N139" s="22" t="str">
        <x:v>미착수</x:v>
      </x:c>
      <x:c r="O139" s="22" t="str">
        <x:v>회원 05</x:v>
      </x:c>
      <x:c r="P139" s="22" t="str">
        <x:v>대표 시나리오 기능이 예시 시나리오에서 동작하고 테스트 증거가 저장됨</x:v>
      </x:c>
    </x:row>
    <x:row r="140">
      <x:c r="A140" s="25" t="str">
        <x:v>M12-F04</x:v>
      </x:c>
      <x:c r="B140" s="22" t="str">
        <x:v>통합</x:v>
      </x:c>
      <x:c r="C140" s="22" t="str">
        <x:v>데이터</x:v>
      </x:c>
      <x:c r="D140" s="22" t="str">
        <x:v>테스트 자산</x:v>
      </x:c>
      <x:c r="E140" s="22" t="str">
        <x:v>샘플 Agent·RAG·MCP·문서 관리</x:v>
      </x:c>
      <x:c r="F140" s="22" t="str">
        <x:v>HR 규정 RAG와 Mock DB 제공</x:v>
      </x:c>
      <x:c r="G140" s="22" t="str">
        <x:v>MVP</x:v>
      </x:c>
      <x:c r="H140" s="22" t="str">
        <x:v>초중급</x:v>
      </x:c>
      <x:c r="I140" s="22" t="str">
        <x:v>M12</x:v>
      </x:c>
      <x:c r="J140" s="22" t="str">
        <x:v>회원 12</x:v>
      </x:c>
      <x:c r="K140" s="22" t="str">
        <x:v>Test Fixtures</x:v>
      </x:c>
      <x:c r="L140" s="22" t="str">
        <x:v>M06,M09</x:v>
      </x:c>
      <x:c r="M140" s="22" t="str">
        <x:v>P2 개발</x:v>
      </x:c>
      <x:c r="N140" s="22" t="str">
        <x:v>미착수</x:v>
      </x:c>
      <x:c r="O140" s="22" t="str">
        <x:v>회원 05</x:v>
      </x:c>
      <x:c r="P140" s="22" t="str">
        <x:v>테스트 자산 기능이 예시 시나리오에서 동작하고 테스트 증거가 저장됨</x:v>
      </x:c>
    </x:row>
    <x:row r="141">
      <x:c r="A141" s="25" t="str">
        <x:v>M12-F05</x:v>
      </x:c>
      <x:c r="B141" s="22" t="str">
        <x:v>통합</x:v>
      </x:c>
      <x:c r="C141" s="22" t="str">
        <x:v>자동화</x:v>
      </x:c>
      <x:c r="D141" s="22" t="str">
        <x:v>CI Pipeline</x:v>
      </x:c>
      <x:c r="E141" s="22" t="str">
        <x:v>Lint·Test·Package·검증 자동화</x:v>
      </x:c>
      <x:c r="F141" s="22" t="str">
        <x:v>PR마다 Schema와 단위 테스트 실행</x:v>
      </x:c>
      <x:c r="G141" s="22" t="str">
        <x:v>MVP</x:v>
      </x:c>
      <x:c r="H141" s="22" t="str">
        <x:v>중급</x:v>
      </x:c>
      <x:c r="I141" s="22" t="str">
        <x:v>M12</x:v>
      </x:c>
      <x:c r="J141" s="22" t="str">
        <x:v>회원 12</x:v>
      </x:c>
      <x:c r="K141" s="22" t="str">
        <x:v>CI Workflow</x:v>
      </x:c>
      <x:c r="L141" s="22" t="str">
        <x:v>전 모듈</x:v>
      </x:c>
      <x:c r="M141" s="22" t="str">
        <x:v>P2 개발</x:v>
      </x:c>
      <x:c r="N141" s="22" t="str">
        <x:v>미착수</x:v>
      </x:c>
      <x:c r="O141" s="22" t="str">
        <x:v>회원 05</x:v>
      </x:c>
      <x:c r="P141" s="22" t="str">
        <x:v>CI Pipeline 기능이 예시 시나리오에서 동작하고 테스트 증거가 저장됨</x:v>
      </x:c>
    </x:row>
    <x:row r="142">
      <x:c r="A142" s="25" t="str">
        <x:v>M12-F06</x:v>
      </x:c>
      <x:c r="B142" s="22" t="str">
        <x:v>통합</x:v>
      </x:c>
      <x:c r="C142" s="22" t="str">
        <x:v>환경</x:v>
      </x:c>
      <x:c r="D142" s="22" t="str">
        <x:v>개발환경 Bootstrap</x:v>
      </x:c>
      <x:c r="E142" s="22" t="str">
        <x:v>공통 실행·Mock·설정 스크립트</x:v>
      </x:c>
      <x:c r="F142" s="22" t="str">
        <x:v>신규 회원이 30분 내 샘플 실행</x:v>
      </x:c>
      <x:c r="G142" s="22" t="str">
        <x:v>MVP</x:v>
      </x:c>
      <x:c r="H142" s="22" t="str">
        <x:v>중급</x:v>
      </x:c>
      <x:c r="I142" s="22" t="str">
        <x:v>M12</x:v>
      </x:c>
      <x:c r="J142" s="22" t="str">
        <x:v>회원 12</x:v>
      </x:c>
      <x:c r="K142" s="22" t="str">
        <x:v>Dev Setup</x:v>
      </x:c>
      <x:c r="L142" s="22" t="str">
        <x:v>M06</x:v>
      </x:c>
      <x:c r="M142" s="22" t="str">
        <x:v>P1 설계</x:v>
      </x:c>
      <x:c r="N142" s="22" t="str">
        <x:v>미착수</x:v>
      </x:c>
      <x:c r="O142" s="22" t="str">
        <x:v>회원 05</x:v>
      </x:c>
      <x:c r="P142" s="22" t="str">
        <x:v>개발환경 Bootstrap 기능이 예시 시나리오에서 동작하고 테스트 증거가 저장됨</x:v>
      </x:c>
    </x:row>
    <x:row r="143">
      <x:c r="A143" s="25" t="str">
        <x:v>M12-F07</x:v>
      </x:c>
      <x:c r="B143" s="22" t="str">
        <x:v>통합</x:v>
      </x:c>
      <x:c r="C143" s="22" t="str">
        <x:v>품질</x:v>
      </x:c>
      <x:c r="D143" s="22" t="str">
        <x:v>릴리스 체크리스트</x:v>
      </x:c>
      <x:c r="E143" s="22" t="str">
        <x:v>버전·테스트·문서·보안 확인</x:v>
      </x:c>
      <x:c r="F143" s="22" t="str">
        <x:v>운영 후보 배포 전 15개 항목 점검</x:v>
      </x:c>
      <x:c r="G143" s="22" t="str">
        <x:v>MVP</x:v>
      </x:c>
      <x:c r="H143" s="22" t="str">
        <x:v>초중급</x:v>
      </x:c>
      <x:c r="I143" s="22" t="str">
        <x:v>M12</x:v>
      </x:c>
      <x:c r="J143" s="22" t="str">
        <x:v>회원 12</x:v>
      </x:c>
      <x:c r="K143" s="22" t="str">
        <x:v>Release Checklist</x:v>
      </x:c>
      <x:c r="L143" s="22" t="str">
        <x:v>M11</x:v>
      </x:c>
      <x:c r="M143" s="22" t="str">
        <x:v>P4 검증</x:v>
      </x:c>
      <x:c r="N143" s="22" t="str">
        <x:v>미착수</x:v>
      </x:c>
      <x:c r="O143" s="22" t="str">
        <x:v>회원 05</x:v>
      </x:c>
      <x:c r="P143" s="22" t="str">
        <x:v>릴리스 체크리스트 기능이 예시 시나리오에서 동작하고 테스트 증거가 저장됨</x:v>
      </x:c>
    </x:row>
    <x:row r="144">
      <x:c r="A144" s="25" t="str">
        <x:v>M12-F08</x:v>
      </x:c>
      <x:c r="B144" s="22" t="str">
        <x:v>통합</x:v>
      </x:c>
      <x:c r="C144" s="22" t="str">
        <x:v>문서</x:v>
      </x:c>
      <x:c r="D144" s="22" t="str">
        <x:v>설치·사용 가이드</x:v>
      </x:c>
      <x:c r="E144" s="22" t="str">
        <x:v>비개발자와 개발자 문서 분리</x:v>
      </x:c>
      <x:c r="F144" s="22" t="str">
        <x:v>Desktop Client 패키지 가져오기 안내</x:v>
      </x:c>
      <x:c r="G144" s="22" t="str">
        <x:v>MVP</x:v>
      </x:c>
      <x:c r="H144" s="22" t="str">
        <x:v>초중급</x:v>
      </x:c>
      <x:c r="I144" s="22" t="str">
        <x:v>M12</x:v>
      </x:c>
      <x:c r="J144" s="22" t="str">
        <x:v>회원 12</x:v>
      </x:c>
      <x:c r="K144" s="22" t="str">
        <x:v>User/Dev Guide</x:v>
      </x:c>
      <x:c r="L144" s="22" t="str">
        <x:v>전 모듈</x:v>
      </x:c>
      <x:c r="M144" s="22" t="str">
        <x:v>P4 검증</x:v>
      </x:c>
      <x:c r="N144" s="22" t="str">
        <x:v>미착수</x:v>
      </x:c>
      <x:c r="O144" s="22" t="str">
        <x:v>회원 05</x:v>
      </x:c>
      <x:c r="P144" s="22" t="str">
        <x:v>설치·사용 가이드 기능이 예시 시나리오에서 동작하고 테스트 증거가 저장됨</x:v>
      </x:c>
    </x:row>
    <x:row r="145">
      <x:c r="A145" s="25" t="str">
        <x:v>M12-F09</x:v>
      </x:c>
      <x:c r="B145" s="22" t="str">
        <x:v>통합</x:v>
      </x:c>
      <x:c r="C145" s="22" t="str">
        <x:v>협업</x:v>
      </x:c>
      <x:c r="D145" s="22" t="str">
        <x:v>Issue·PR Template</x:v>
      </x:c>
      <x:c r="E145" s="22" t="str">
        <x:v>AI 생성 코드의 검증 항목 표준화</x:v>
      </x:c>
      <x:c r="F145" s="22" t="str">
        <x:v>테스트 증거 없는 PR 병합 금지</x:v>
      </x:c>
      <x:c r="G145" s="22" t="str">
        <x:v>MVP</x:v>
      </x:c>
      <x:c r="H145" s="22" t="str">
        <x:v>초중급</x:v>
      </x:c>
      <x:c r="I145" s="22" t="str">
        <x:v>M12</x:v>
      </x:c>
      <x:c r="J145" s="22" t="str">
        <x:v>회원 12</x:v>
      </x:c>
      <x:c r="K145" s="22" t="str">
        <x:v>Repo Templates</x:v>
      </x:c>
      <x:c r="L145" s="22" t="str">
        <x:v>전 모듈</x:v>
      </x:c>
      <x:c r="M145" s="22" t="str">
        <x:v>P1 설계</x:v>
      </x:c>
      <x:c r="N145" s="22" t="str">
        <x:v>미착수</x:v>
      </x:c>
      <x:c r="O145" s="22" t="str">
        <x:v>회원 05</x:v>
      </x:c>
      <x:c r="P145" s="22" t="str">
        <x:v>Issue·PR Template 기능이 예시 시나리오에서 동작하고 테스트 증거가 저장됨</x:v>
      </x:c>
    </x:row>
    <x:row r="146">
      <x:c r="A146" s="25" t="str">
        <x:v>M12-F10</x:v>
      </x:c>
      <x:c r="B146" s="22" t="str">
        <x:v>통합</x:v>
      </x:c>
      <x:c r="C146" s="22" t="str">
        <x:v>관측</x:v>
      </x:c>
      <x:c r="D146" s="22" t="str">
        <x:v>통합 상태표</x:v>
      </x:c>
      <x:c r="E146" s="22" t="str">
        <x:v>모듈별 계약·테스트·Blocker 추적</x:v>
      </x:c>
      <x:c r="F146" s="22" t="str">
        <x:v>M08 지연이 M05 통합에 미치는 영향 표시</x:v>
      </x:c>
      <x:c r="G146" s="22" t="str">
        <x:v>MVP</x:v>
      </x:c>
      <x:c r="H146" s="22" t="str">
        <x:v>중급</x:v>
      </x:c>
      <x:c r="I146" s="22" t="str">
        <x:v>M12</x:v>
      </x:c>
      <x:c r="J146" s="22" t="str">
        <x:v>회원 12</x:v>
      </x:c>
      <x:c r="K146" s="22" t="str">
        <x:v>Integration Board</x:v>
      </x:c>
      <x:c r="L146" s="22" t="str">
        <x:v>전 모듈</x:v>
      </x:c>
      <x:c r="M146" s="22" t="str">
        <x:v>P3 통합</x:v>
      </x:c>
      <x:c r="N146" s="22" t="str">
        <x:v>미착수</x:v>
      </x:c>
      <x:c r="O146" s="22" t="str">
        <x:v>회원 05</x:v>
      </x:c>
      <x:c r="P146" s="22" t="str">
        <x:v>통합 상태표 기능이 예시 시나리오에서 동작하고 테스트 증거가 저장됨</x:v>
      </x:c>
    </x:row>
    <x:row r="147">
      <x:c r="A147" s="25" t="str">
        <x:v>M12-F11</x:v>
      </x:c>
      <x:c r="B147" s="22" t="str">
        <x:v>통합</x:v>
      </x:c>
      <x:c r="C147" s="22" t="str">
        <x:v>데모</x:v>
      </x:c>
      <x:c r="D147" s="22" t="str">
        <x:v>Demo Runbook</x:v>
      </x:c>
      <x:c r="E147" s="22" t="str">
        <x:v>환경 준비·질문·기대 결과 정의</x:v>
      </x:c>
      <x:c r="F147" s="22" t="str">
        <x:v>폐쇄망 Nexacro 분석 10분 데모</x:v>
      </x:c>
      <x:c r="G147" s="22" t="str">
        <x:v>MVP</x:v>
      </x:c>
      <x:c r="H147" s="22" t="str">
        <x:v>초중급</x:v>
      </x:c>
      <x:c r="I147" s="22" t="str">
        <x:v>M12</x:v>
      </x:c>
      <x:c r="J147" s="22" t="str">
        <x:v>회원 12</x:v>
      </x:c>
      <x:c r="K147" s="22" t="str">
        <x:v>Demo Script</x:v>
      </x:c>
      <x:c r="L147" s="22" t="str">
        <x:v>전 모듈</x:v>
      </x:c>
      <x:c r="M147" s="22" t="str">
        <x:v>P4 검증</x:v>
      </x:c>
      <x:c r="N147" s="22" t="str">
        <x:v>미착수</x:v>
      </x:c>
      <x:c r="O147" s="22" t="str">
        <x:v>회원 05</x:v>
      </x:c>
      <x:c r="P147" s="22" t="str">
        <x:v>Demo Runbook 기능이 예시 시나리오에서 동작하고 테스트 증거가 저장됨</x:v>
      </x:c>
    </x:row>
    <x:row r="148">
      <x:c r="A148" s="26" t="str">
        <x:v>M12-F12</x:v>
      </x:c>
      <x:c r="B148" s="23" t="str">
        <x:v>통합</x:v>
      </x:c>
      <x:c r="C148" s="23" t="str">
        <x:v>인수</x:v>
      </x:c>
      <x:c r="D148" s="23" t="str">
        <x:v>Acceptance Report</x:v>
      </x:c>
      <x:c r="E148" s="23" t="str">
        <x:v>기능·성능·보안·UX 결과 정리</x:v>
      </x:c>
      <x:c r="F148" s="23" t="str">
        <x:v>Go/Conditional Go 판단 자료</x:v>
      </x:c>
      <x:c r="G148" s="23" t="str">
        <x:v>MVP</x:v>
      </x:c>
      <x:c r="H148" s="23" t="str">
        <x:v>중급</x:v>
      </x:c>
      <x:c r="I148" s="23" t="str">
        <x:v>M12</x:v>
      </x:c>
      <x:c r="J148" s="23" t="str">
        <x:v>회원 12</x:v>
      </x:c>
      <x:c r="K148" s="23" t="str">
        <x:v>Final Report</x:v>
      </x:c>
      <x:c r="L148" s="23" t="str">
        <x:v>전 모듈</x:v>
      </x:c>
      <x:c r="M148" s="23" t="str">
        <x:v>P4 검증</x:v>
      </x:c>
      <x:c r="N148" s="23" t="str">
        <x:v>미착수</x:v>
      </x:c>
      <x:c r="O148" s="23" t="str">
        <x:v>회원 05</x:v>
      </x:c>
      <x:c r="P148" s="23" t="str">
        <x:v>Acceptance Report 기능이 예시 시나리오에서 동작하고 테스트 증거가 저장됨</x:v>
      </x:c>
    </x:row>
  </x:sheetData>
  <x:mergeCells>
    <x:mergeCell ref="A1:P1"/>
    <x:mergeCell ref="A2:P2"/>
  </x:mergeCells>
  <x:conditionalFormatting sqref="G5:G148">
    <x:cfRule type="containsText" dxfId="0" priority="1" operator="containsText" text="MVP"/>
  </x:conditionalFormatting>
  <x:conditionalFormatting sqref="H5:H148">
    <x:cfRule type="containsText" dxfId="1" priority="2" operator="containsText" text="고급"/>
  </x:conditionalFormatting>
  <x:conditionalFormatting sqref="N5:N148">
    <x:cfRule type="containsText" dxfId="2" priority="3" operator="containsText" text="완료"/>
    <x:cfRule type="containsText" dxfId="3" priority="4" operator="containsText" text="진행중"/>
  </x:conditionalFormatting>
  <x:dataValidations count="3">
    <x:dataValidation type="list" sqref="G5:G148">
      <x:formula1>"MVP,확장,고도화"</x:formula1>
    </x:dataValidation>
    <x:dataValidation type="list" sqref="H5:H148">
      <x:formula1>"초중급,중급,고급"</x:formula1>
    </x:dataValidation>
    <x:dataValidation type="list" sqref="N5:N148">
      <x:formula1>"미착수,진행중,검토중,완료,보류"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29b3a1bd294d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28" hidden="0" customWidth="1"/>
    <x:col min="4" max="4" width="22" hidden="0" customWidth="1"/>
    <x:col min="5" max="5" width="22" hidden="0" customWidth="1"/>
    <x:col min="6" max="6" width="34" hidden="0" customWidth="1"/>
    <x:col min="7" max="7" width="38" hidden="0" customWidth="1"/>
    <x:col min="8" max="8" width="15" hidden="0" customWidth="1"/>
    <x:col min="9" max="9" width="13" hidden="0" customWidth="1"/>
  </x:cols>
  <x:sheetData>
    <x:row r="1" ht="34" customHeight="1">
      <x:c r="A1" s="58" t="str">
        <x:v>패키지·실행 모듈 구성</x:v>
      </x:c>
      <x:c r="B1" s="58" t="str">
        <x:v>패키지·실행 모듈 구성</x:v>
      </x:c>
      <x:c r="C1" s="58" t="str">
        <x:v>패키지·실행 모듈 구성</x:v>
      </x:c>
      <x:c r="D1" s="58" t="str">
        <x:v>패키지·실행 모듈 구성</x:v>
      </x:c>
      <x:c r="E1" s="58" t="str">
        <x:v>패키지·실행 모듈 구성</x:v>
      </x:c>
      <x:c r="F1" s="58" t="str">
        <x:v>패키지·실행 모듈 구성</x:v>
      </x:c>
      <x:c r="G1" s="58" t="str">
        <x:v>패키지·실행 모듈 구성</x:v>
      </x:c>
      <x:c r="H1" s="58" t="str">
        <x:v>패키지·실행 모듈 구성</x:v>
      </x:c>
      <x:c r="I1" s="58" t="str">
        <x:v>패키지·실행 모듈 구성</x:v>
      </x:c>
    </x:row>
    <x:row r="2" ht="28" customHeight="1">
      <x:c r="A2" s="59" t="str">
        <x:v>각 구성요소가 어디에 설치되고 어떤 방식으로 사용되는지 정리</x:v>
      </x:c>
      <x:c r="B2" s="59" t="str">
        <x:v>각 구성요소가 어디에 설치되고 어떤 방식으로 사용되는지 정리</x:v>
      </x:c>
      <x:c r="C2" s="59" t="str">
        <x:v>각 구성요소가 어디에 설치되고 어떤 방식으로 사용되는지 정리</x:v>
      </x:c>
      <x:c r="D2" s="59" t="str">
        <x:v>각 구성요소가 어디에 설치되고 어떤 방식으로 사용되는지 정리</x:v>
      </x:c>
      <x:c r="E2" s="59" t="str">
        <x:v>각 구성요소가 어디에 설치되고 어떤 방식으로 사용되는지 정리</x:v>
      </x:c>
      <x:c r="F2" s="59" t="str">
        <x:v>각 구성요소가 어디에 설치되고 어떤 방식으로 사용되는지 정리</x:v>
      </x:c>
      <x:c r="G2" s="59" t="str">
        <x:v>각 구성요소가 어디에 설치되고 어떤 방식으로 사용되는지 정리</x:v>
      </x:c>
      <x:c r="H2" s="59" t="str">
        <x:v>각 구성요소가 어디에 설치되고 어떤 방식으로 사용되는지 정리</x:v>
      </x:c>
      <x:c r="I2" s="59" t="str">
        <x:v>각 구성요소가 어디에 설치되고 어떤 방식으로 사용되는지 정리</x:v>
      </x:c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</x:row>
    <x:row r="4" ht="32" customHeight="1">
      <x:c r="A4" s="70" t="str">
        <x:v>Depth 1</x:v>
      </x:c>
      <x:c r="B4" s="70" t="str">
        <x:v>Depth 2</x:v>
      </x:c>
      <x:c r="C4" s="70" t="str">
        <x:v>패키지/모듈</x:v>
      </x:c>
      <x:c r="D4" s="70" t="str">
        <x:v>형태</x:v>
      </x:c>
      <x:c r="E4" s="70" t="str">
        <x:v>설치·보관 위치</x:v>
      </x:c>
      <x:c r="F4" s="70" t="str">
        <x:v>사용 방식</x:v>
      </x:c>
      <x:c r="G4" s="70" t="str">
        <x:v>사용 예시</x:v>
      </x:c>
      <x:c r="H4" s="70" t="str">
        <x:v>담당 모듈</x:v>
      </x:c>
      <x:c r="I4" s="70" t="str">
        <x:v>필요 시점</x:v>
      </x:c>
    </x:row>
    <x:row r="5">
      <x:c r="A5" s="21" t="str">
        <x:v>중앙 플랫폼</x:v>
      </x:c>
      <x:c r="B5" s="21" t="str">
        <x:v>자산 관리</x:v>
      </x:c>
      <x:c r="C5" s="21" t="str">
        <x:v>AI Asset Portal</x:v>
      </x:c>
      <x:c r="D5" s="21" t="str">
        <x:v>Web Application</x:v>
      </x:c>
      <x:c r="E5" s="21" t="str">
        <x:v>중앙 사내 서버</x:v>
      </x:c>
      <x:c r="F5" s="21" t="str">
        <x:v>자산 검색·등록·검토·다운로드</x:v>
      </x:c>
      <x:c r="G5" s="21" t="str">
        <x:v>Nexacro Agent 검색 후 필요한 RAG·MCP 확인</x:v>
      </x:c>
      <x:c r="H5" s="21" t="str">
        <x:v>M01/M02</x:v>
      </x:c>
      <x:c r="I5" s="21" t="str">
        <x:v>MVP</x:v>
      </x:c>
    </x:row>
    <x:row r="6">
      <x:c r="A6" s="22" t="str">
        <x:v>중앙 플랫폼</x:v>
      </x:c>
      <x:c r="B6" s="22" t="str">
        <x:v>파일 저장</x:v>
      </x:c>
      <x:c r="C6" s="22" t="str">
        <x:v>Asset Repository</x:v>
      </x:c>
      <x:c r="D6" s="22" t="str">
        <x:v>File/Object Repository</x:v>
      </x:c>
      <x:c r="E6" s="22" t="str">
        <x:v>중앙 사내 서버</x:v>
      </x:c>
      <x:c r="F6" s="22" t="str">
        <x:v>ZIP·설정·인덱스·문서 보관</x:v>
      </x:c>
      <x:c r="G6" s="22" t="str">
        <x:v>agent-1.2.0.zip과 rag-1.0.0.zip 저장</x:v>
      </x:c>
      <x:c r="H6" s="22" t="str">
        <x:v>M03</x:v>
      </x:c>
      <x:c r="I6" s="22" t="str">
        <x:v>MVP</x:v>
      </x:c>
    </x:row>
    <x:row r="7">
      <x:c r="A7" s="22" t="str">
        <x:v>중앙 플랫폼</x:v>
      </x:c>
      <x:c r="B7" s="22" t="str">
        <x:v>메타데이터</x:v>
      </x:c>
      <x:c r="C7" s="22" t="str">
        <x:v>Asset Registry</x:v>
      </x:c>
      <x:c r="D7" s="22" t="str">
        <x:v>Database</x:v>
      </x:c>
      <x:c r="E7" s="22" t="str">
        <x:v>중앙 사내 서버</x:v>
      </x:c>
      <x:c r="F7" s="22" t="str">
        <x:v>ID·버전·작성자·의존성·상태 관리</x:v>
      </x:c>
      <x:c r="G7" s="22" t="str">
        <x:v>Agent가 RAG 1.0 이상을 요구하는 관계 저장</x:v>
      </x:c>
      <x:c r="H7" s="22" t="str">
        <x:v>M02</x:v>
      </x:c>
      <x:c r="I7" s="22" t="str">
        <x:v>MVP</x:v>
      </x:c>
    </x:row>
    <x:row r="8">
      <x:c r="A8" s="22" t="str">
        <x:v>중앙 플랫폼</x:v>
      </x:c>
      <x:c r="B8" s="22" t="str">
        <x:v>배포</x:v>
      </x:c>
      <x:c r="C8" s="22" t="str">
        <x:v>Distribution Service</x:v>
      </x:c>
      <x:c r="D8" s="22" t="str">
        <x:v>Service</x:v>
      </x:c>
      <x:c r="E8" s="22" t="str">
        <x:v>중앙 사내 서버</x:v>
      </x:c>
      <x:c r="F8" s="22" t="str">
        <x:v>온라인 다운로드·오프라인 번들 제공</x:v>
      </x:c>
      <x:c r="G8" s="22" t="str">
        <x:v>폐쇄망 반입용 통합 ZIP 생성</x:v>
      </x:c>
      <x:c r="H8" s="22" t="str">
        <x:v>M03</x:v>
      </x:c>
      <x:c r="I8" s="22" t="str">
        <x:v>MVP</x:v>
      </x:c>
    </x:row>
    <x:row r="9">
      <x:c r="A9" s="22" t="str">
        <x:v>중앙 플랫폼</x:v>
      </x:c>
      <x:c r="B9" s="22" t="str">
        <x:v>거버넌스</x:v>
      </x:c>
      <x:c r="C9" s="22" t="str">
        <x:v>Governance Service</x:v>
      </x:c>
      <x:c r="D9" s="22" t="str">
        <x:v>Portal Module</x:v>
      </x:c>
      <x:c r="E9" s="22" t="str">
        <x:v>중앙 사내 서버</x:v>
      </x:c>
      <x:c r="F9" s="22" t="str">
        <x:v>검토·승인·반려·폐기 관리</x:v>
      </x:c>
      <x:c r="G9" s="22" t="str">
        <x:v>MCP Tool 보안검토 후 승인</x:v>
      </x:c>
      <x:c r="H9" s="22" t="str">
        <x:v>M02/M11</x:v>
      </x:c>
      <x:c r="I9" s="22" t="str">
        <x:v>MVP</x:v>
      </x:c>
    </x:row>
    <x:row r="10">
      <x:c r="A10" s="22" t="str">
        <x:v>사용자 실행</x:v>
      </x:c>
      <x:c r="B10" s="22" t="str">
        <x:v>사용자 앱</x:v>
      </x:c>
      <x:c r="C10" s="22" t="str">
        <x:v>AI Desktop Client</x:v>
      </x:c>
      <x:c r="D10" s="22" t="str">
        <x:v>Windows Application</x:v>
      </x:c>
      <x:c r="E10" s="22" t="str">
        <x:v>사용자 PC</x:v>
      </x:c>
      <x:c r="F10" s="22" t="str">
        <x:v>Agent 설치·실행·상태 확인</x:v>
      </x:c>
      <x:c r="G10" s="22" t="str">
        <x:v>오프라인 Bundle 설치 후 질문 실행</x:v>
      </x:c>
      <x:c r="H10" s="22" t="str">
        <x:v>M04</x:v>
      </x:c>
      <x:c r="I10" s="22" t="str">
        <x:v>MVP</x:v>
      </x:c>
    </x:row>
    <x:row r="11">
      <x:c r="A11" s="22" t="str">
        <x:v>사용자 실행</x:v>
      </x:c>
      <x:c r="B11" s="22" t="str">
        <x:v>실행 엔진</x:v>
      </x:c>
      <x:c r="C11" s="22" t="str">
        <x:v>Agent Runtime</x:v>
      </x:c>
      <x:c r="D11" s="22" t="str">
        <x:v>Local Runtime</x:v>
      </x:c>
      <x:c r="E11" s="22" t="str">
        <x:v>사용자 PC</x:v>
      </x:c>
      <x:c r="F11" s="22" t="str">
        <x:v>Workflow·LLM·RAG·MCP 조정</x:v>
      </x:c>
      <x:c r="G11" s="22" t="str">
        <x:v>RAG와 MCP 결과를 조합해 답변</x:v>
      </x:c>
      <x:c r="H11" s="22" t="str">
        <x:v>M05</x:v>
      </x:c>
      <x:c r="I11" s="22" t="str">
        <x:v>MVP</x:v>
      </x:c>
    </x:row>
    <x:row r="12">
      <x:c r="A12" s="22" t="str">
        <x:v>사용자 실행</x:v>
      </x:c>
      <x:c r="B12" s="22" t="str">
        <x:v>모델 연결</x:v>
      </x:c>
      <x:c r="C12" s="22" t="str">
        <x:v>LLM Adapter</x:v>
      </x:c>
      <x:c r="D12" s="22" t="str">
        <x:v>Runtime Module</x:v>
      </x:c>
      <x:c r="E12" s="22" t="str">
        <x:v>사용자 PC/중앙</x:v>
      </x:c>
      <x:c r="F12" s="22" t="str">
        <x:v>모델별 API를 공통 인터페이스로 변환</x:v>
      </x:c>
      <x:c r="G12" s="22" t="str">
        <x:v>폐쇄망은 Ollama, 일반망은 승인 모델</x:v>
      </x:c>
      <x:c r="H12" s="22" t="str">
        <x:v>M05</x:v>
      </x:c>
      <x:c r="I12" s="22" t="str">
        <x:v>MVP</x:v>
      </x:c>
    </x:row>
    <x:row r="13">
      <x:c r="A13" s="22" t="str">
        <x:v>RAG 구축</x:v>
      </x:c>
      <x:c r="B13" s="22" t="str">
        <x:v>인덱싱</x:v>
      </x:c>
      <x:c r="C13" s="22" t="str">
        <x:v>Indexing Runtime</x:v>
      </x:c>
      <x:c r="D13" s="22" t="str">
        <x:v>CLI/Service</x:v>
      </x:c>
      <x:c r="E13" s="22" t="str">
        <x:v>제작자 PC/구축 서버</x:v>
      </x:c>
      <x:c r="F13" s="22" t="str">
        <x:v>문서 파싱·청킹·임베딩·색인</x:v>
      </x:c>
      <x:c r="G13" s="22" t="str">
        <x:v>규정을 Parent-Child로 Chroma에 저장</x:v>
      </x:c>
      <x:c r="H13" s="22" t="str">
        <x:v>M07</x:v>
      </x:c>
      <x:c r="I13" s="22" t="str">
        <x:v>MVP</x:v>
      </x:c>
    </x:row>
    <x:row r="14">
      <x:c r="A14" s="22" t="str">
        <x:v>RAG 실행</x:v>
      </x:c>
      <x:c r="B14" s="22" t="str">
        <x:v>검색</x:v>
      </x:c>
      <x:c r="C14" s="22" t="str">
        <x:v>Search Runtime</x:v>
      </x:c>
      <x:c r="D14" s="22" t="str">
        <x:v>Runtime Module</x:v>
      </x:c>
      <x:c r="E14" s="22" t="str">
        <x:v>사용자 PC/사업장 서버</x:v>
      </x:c>
      <x:c r="F14" s="22" t="str">
        <x:v>Rewrite·Vector/BM25·RRF·문맥 생성</x:v>
      </x:c>
      <x:c r="G14" s="22" t="str">
        <x:v>아이 돌봄 질문에서 육아휴직 규정 검색</x:v>
      </x:c>
      <x:c r="H14" s="22" t="str">
        <x:v>M08</x:v>
      </x:c>
      <x:c r="I14" s="22" t="str">
        <x:v>MVP</x:v>
      </x:c>
    </x:row>
    <x:row r="15">
      <x:c r="A15" s="22" t="str">
        <x:v>업무 연결</x:v>
      </x:c>
      <x:c r="B15" s="22" t="str">
        <x:v>Tool 서버</x:v>
      </x:c>
      <x:c r="C15" s="22" t="str">
        <x:v>Office MCP Server</x:v>
      </x:c>
      <x:c r="D15" s="22" t="str">
        <x:v>Server Application</x:v>
      </x:c>
      <x:c r="E15" s="22" t="str">
        <x:v>사업장 공용 서버</x:v>
      </x:c>
      <x:c r="F15" s="22" t="str">
        <x:v>권한 확인 후 내부 시스템 Tool 실행</x:v>
      </x:c>
      <x:c r="G15" s="22" t="str">
        <x:v>DB Metadata Tool로 컬럼 조회</x:v>
      </x:c>
      <x:c r="H15" s="22" t="str">
        <x:v>M10</x:v>
      </x:c>
      <x:c r="I15" s="22" t="str">
        <x:v>MVP</x:v>
      </x:c>
    </x:row>
    <x:row r="16">
      <x:c r="A16" s="22" t="str">
        <x:v>업무 연결</x:v>
      </x:c>
      <x:c r="B16" s="22" t="str">
        <x:v>시스템</x:v>
      </x:c>
      <x:c r="C16" s="22" t="str">
        <x:v>System Connector</x:v>
      </x:c>
      <x:c r="D16" s="22" t="str">
        <x:v>MCP Module</x:v>
      </x:c>
      <x:c r="E16" s="22" t="str">
        <x:v>Office MCP Server</x:v>
      </x:c>
      <x:c r="F16" s="22" t="str">
        <x:v>DB·MES·ERP·파일 서버 연결</x:v>
      </x:c>
      <x:c r="G16" s="22" t="str">
        <x:v>Oracle Read-only 계정으로 건수 조회</x:v>
      </x:c>
      <x:c r="H16" s="22" t="str">
        <x:v>M10</x:v>
      </x:c>
      <x:c r="I16" s="22" t="str">
        <x:v>MVP</x:v>
      </x:c>
    </x:row>
    <x:row r="17">
      <x:c r="A17" s="22" t="str">
        <x:v>AI 자산</x:v>
      </x:c>
      <x:c r="B17" s="22" t="str">
        <x:v>업무 흐름</x:v>
      </x:c>
      <x:c r="C17" s="22" t="str">
        <x:v>Agent Package</x:v>
      </x:c>
      <x:c r="D17" s="22" t="str">
        <x:v>ZIP Package</x:v>
      </x:c>
      <x:c r="E17" s="22" t="str">
        <x:v>Portal→사용자 PC</x:v>
      </x:c>
      <x:c r="F17" s="22" t="str">
        <x:v>Workflow·Prompt·의존성 배포</x:v>
      </x:c>
      <x:c r="G17" s="22" t="str">
        <x:v>Nexacro 분석+RAG+DB Tool 조합</x:v>
      </x:c>
      <x:c r="H17" s="22" t="str">
        <x:v>M05/M06</x:v>
      </x:c>
      <x:c r="I17" s="22" t="str">
        <x:v>MVP</x:v>
      </x:c>
    </x:row>
    <x:row r="18">
      <x:c r="A18" s="22" t="str">
        <x:v>AI 자산</x:v>
      </x:c>
      <x:c r="B18" s="22" t="str">
        <x:v>지식 원본</x:v>
      </x:c>
      <x:c r="C18" s="22" t="str">
        <x:v>Source Document Package</x:v>
      </x:c>
      <x:c r="D18" s="22" t="str">
        <x:v>ZIP/Document</x:v>
      </x:c>
      <x:c r="E18" s="22" t="str">
        <x:v>Portal/구축 서버</x:v>
      </x:c>
      <x:c r="F18" s="22" t="str">
        <x:v>원본·파싱 정보·출처 보관</x:v>
      </x:c>
      <x:c r="G18" s="22" t="str">
        <x:v>Nexacro 공식문서와 버전 제공</x:v>
      </x:c>
      <x:c r="H18" s="22" t="str">
        <x:v>M07/M09</x:v>
      </x:c>
      <x:c r="I18" s="22" t="str">
        <x:v>확장</x:v>
      </x:c>
    </x:row>
    <x:row r="19">
      <x:c r="A19" s="22" t="str">
        <x:v>AI 자산</x:v>
      </x:c>
      <x:c r="B19" s="22" t="str">
        <x:v>인덱싱 설정</x:v>
      </x:c>
      <x:c r="C19" s="22" t="str">
        <x:v>Indexing Profile</x:v>
      </x:c>
      <x:c r="D19" s="22" t="str">
        <x:v>YAML/JSON</x:v>
      </x:c>
      <x:c r="E19" s="22" t="str">
        <x:v>RAG Package</x:v>
      </x:c>
      <x:c r="F19" s="22" t="str">
        <x:v>청킹·임베딩·DB 설정</x:v>
      </x:c>
      <x:c r="G19" s="22" t="str">
        <x:v>Parent 1200·Child 350·Ollama 선언</x:v>
      </x:c>
      <x:c r="H19" s="22" t="str">
        <x:v>M06/M07</x:v>
      </x:c>
      <x:c r="I19" s="22" t="str">
        <x:v>MVP</x:v>
      </x:c>
    </x:row>
    <x:row r="20">
      <x:c r="A20" s="22" t="str">
        <x:v>AI 자산</x:v>
      </x:c>
      <x:c r="B20" s="22" t="str">
        <x:v>검색 설정</x:v>
      </x:c>
      <x:c r="C20" s="22" t="str">
        <x:v>Retrieval Profile</x:v>
      </x:c>
      <x:c r="D20" s="22" t="str">
        <x:v>YAML/JSON</x:v>
      </x:c>
      <x:c r="E20" s="22" t="str">
        <x:v>Agent/RAG Package</x:v>
      </x:c>
      <x:c r="F20" s="22" t="str">
        <x:v>검색·결합·필터·문맥 설정</x:v>
      </x:c>
      <x:c r="G20" s="22" t="str">
        <x:v>Vector 0.7+BM25 0.3+RRF</x:v>
      </x:c>
      <x:c r="H20" s="22" t="str">
        <x:v>M06/M08</x:v>
      </x:c>
      <x:c r="I20" s="22" t="str">
        <x:v>MVP</x:v>
      </x:c>
    </x:row>
    <x:row r="21">
      <x:c r="A21" s="22" t="str">
        <x:v>AI 자산</x:v>
      </x:c>
      <x:c r="B21" s="22" t="str">
        <x:v>검색 인덱스</x:v>
      </x:c>
      <x:c r="C21" s="22" t="str">
        <x:v>RAG Index Package</x:v>
      </x:c>
      <x:c r="D21" s="22" t="str">
        <x:v>ZIP Package</x:v>
      </x:c>
      <x:c r="E21" s="22" t="str">
        <x:v>Portal→사용자 PC</x:v>
      </x:c>
      <x:c r="F21" s="22" t="str">
        <x:v>청크·Parent·Vector/BM25 즉시 사용</x:v>
      </x:c>
      <x:c r="G21" s="22" t="str">
        <x:v>재임베딩 없이 Chroma 로드</x:v>
      </x:c>
      <x:c r="H21" s="22" t="str">
        <x:v>M07/M09</x:v>
      </x:c>
      <x:c r="I21" s="22" t="str">
        <x:v>MVP</x:v>
      </x:c>
    </x:row>
    <x:row r="22">
      <x:c r="A22" s="22" t="str">
        <x:v>AI 자산</x:v>
      </x:c>
      <x:c r="B22" s="22" t="str">
        <x:v>검색 평가</x:v>
      </x:c>
      <x:c r="C22" s="22" t="str">
        <x:v>RAG Evaluation Package</x:v>
      </x:c>
      <x:c r="D22" s="22" t="str">
        <x:v>JSONL/Report</x:v>
      </x:c>
      <x:c r="E22" s="22" t="str">
        <x:v>RAG Package/Portal</x:v>
      </x:c>
      <x:c r="F22" s="22" t="str">
        <x:v>질문·기대 청크·품질 결과</x:v>
      </x:c>
      <x:c r="G22" s="22" t="str">
        <x:v>병가 질문 기대 청크 Top-5 평가</x:v>
      </x:c>
      <x:c r="H22" s="22" t="str">
        <x:v>M09</x:v>
      </x:c>
      <x:c r="I22" s="22" t="str">
        <x:v>MVP</x:v>
      </x:c>
    </x:row>
    <x:row r="23">
      <x:c r="A23" s="22" t="str">
        <x:v>AI 자산</x:v>
      </x:c>
      <x:c r="B23" s="22" t="str">
        <x:v>업무 도구</x:v>
      </x:c>
      <x:c r="C23" s="22" t="str">
        <x:v>MCP Tool Package</x:v>
      </x:c>
      <x:c r="D23" s="22" t="str">
        <x:v>Server Plugin</x:v>
      </x:c>
      <x:c r="E23" s="22" t="str">
        <x:v>Office MCP Server</x:v>
      </x:c>
      <x:c r="F23" s="22" t="str">
        <x:v>내부 시스템 Tool 추가·업데이트</x:v>
      </x:c>
      <x:c r="G23" s="22" t="str">
        <x:v>db_metadata.get_columns 설치</x:v>
      </x:c>
      <x:c r="H23" s="22" t="str">
        <x:v>M10</x:v>
      </x:c>
      <x:c r="I23" s="22" t="str">
        <x:v>MVP</x:v>
      </x:c>
    </x:row>
    <x:row r="24">
      <x:c r="A24" s="22" t="str">
        <x:v>AI 자산</x:v>
      </x:c>
      <x:c r="B24" s="22" t="str">
        <x:v>모델 지침</x:v>
      </x:c>
      <x:c r="C24" s="22" t="str">
        <x:v>Prompt Package</x:v>
      </x:c>
      <x:c r="D24" s="22" t="str">
        <x:v>Markdown/YAML</x:v>
      </x:c>
      <x:c r="E24" s="22" t="str">
        <x:v>Portal→Runtime</x:v>
      </x:c>
      <x:c r="F24" s="22" t="str">
        <x:v>Rewrite·분석·답변 지침 버전 관리</x:v>
      </x:c>
      <x:c r="G24" s="22" t="str">
        <x:v>문서에 없는 내용 추측 금지</x:v>
      </x:c>
      <x:c r="H24" s="22" t="str">
        <x:v>M05/M06</x:v>
      </x:c>
      <x:c r="I24" s="22" t="str">
        <x:v>MVP</x:v>
      </x:c>
    </x:row>
    <x:row r="25">
      <x:c r="A25" s="22" t="str">
        <x:v>환경 설정</x:v>
      </x:c>
      <x:c r="B25" s="22" t="str">
        <x:v>사업장</x:v>
      </x:c>
      <x:c r="C25" s="22" t="str">
        <x:v>Office Profile</x:v>
      </x:c>
      <x:c r="D25" s="22" t="str">
        <x:v>YAML/JSON</x:v>
      </x:c>
      <x:c r="E25" s="22" t="str">
        <x:v>PC/MCP Server</x:v>
      </x:c>
      <x:c r="F25" s="22" t="str">
        <x:v>사업장별 모델·MCP·경로·정책</x:v>
      </x:c>
      <x:c r="G25" s="22" t="str">
        <x:v>A사업장 Ollama와 MCP 주소 적용</x:v>
      </x:c>
      <x:c r="H25" s="22" t="str">
        <x:v>M06</x:v>
      </x:c>
      <x:c r="I25" s="22" t="str">
        <x:v>MVP</x:v>
      </x:c>
    </x:row>
    <x:row r="26">
      <x:c r="A26" s="22" t="str">
        <x:v>공통 보안</x:v>
      </x:c>
      <x:c r="B26" s="22" t="str">
        <x:v>무결성</x:v>
      </x:c>
      <x:c r="C26" s="22" t="str">
        <x:v>Package Security</x:v>
      </x:c>
      <x:c r="D26" s="22" t="str">
        <x:v>Policy/Signature</x:v>
      </x:c>
      <x:c r="E26" s="22" t="str">
        <x:v>Portal/Desktop</x:v>
      </x:c>
      <x:c r="F26" s="22" t="str">
        <x:v>Checksum·서명·승인 검증</x:v>
      </x:c>
      <x:c r="G26" s="22" t="str">
        <x:v>변조 Agent 설치 차단</x:v>
      </x:c>
      <x:c r="H26" s="22" t="str">
        <x:v>M11</x:v>
      </x:c>
      <x:c r="I26" s="22" t="str">
        <x:v>MVP/확장</x:v>
      </x:c>
    </x:row>
    <x:row r="27">
      <x:c r="A27" s="22" t="str">
        <x:v>공통 보안</x:v>
      </x:c>
      <x:c r="B27" s="22" t="str">
        <x:v>권한</x:v>
      </x:c>
      <x:c r="C27" s="22" t="str">
        <x:v>Identity &amp; Access</x:v>
      </x:c>
      <x:c r="D27" s="22" t="str">
        <x:v>Auth/Policy</x:v>
      </x:c>
      <x:c r="E27" s="22" t="str">
        <x:v>Portal/MCP</x:v>
      </x:c>
      <x:c r="F27" s="22" t="str">
        <x:v>역할·조직·데이터 접근 통제</x:v>
      </x:c>
      <x:c r="G27" s="22" t="str">
        <x:v>HR 사용자만 HR RAG 검색</x:v>
      </x:c>
      <x:c r="H27" s="22" t="str">
        <x:v>M11</x:v>
      </x:c>
      <x:c r="I27" s="22" t="str">
        <x:v>확장</x:v>
      </x:c>
    </x:row>
    <x:row r="28">
      <x:c r="A28" s="22" t="str">
        <x:v>공통 운영</x:v>
      </x:c>
      <x:c r="B28" s="22" t="str">
        <x:v>감사</x:v>
      </x:c>
      <x:c r="C28" s="22" t="str">
        <x:v>Logging &amp; Audit</x:v>
      </x:c>
      <x:c r="D28" s="22" t="str">
        <x:v>Log/Database</x:v>
      </x:c>
      <x:c r="E28" s="22" t="str">
        <x:v>PC/MCP/중앙</x:v>
      </x:c>
      <x:c r="F28" s="22" t="str">
        <x:v>Agent·RAG·MCP 실행 이력</x:v>
      </x:c>
      <x:c r="G28" s="22" t="str">
        <x:v>사용자·Tool·시간·상태 기록</x:v>
      </x:c>
      <x:c r="H28" s="22" t="str">
        <x:v>M11/M12</x:v>
      </x:c>
      <x:c r="I28" s="22" t="str">
        <x:v>MVP</x:v>
      </x:c>
    </x:row>
    <x:row r="29">
      <x:c r="A29" s="22" t="str">
        <x:v>공통 운영</x:v>
      </x:c>
      <x:c r="B29" s="22" t="str">
        <x:v>품질</x:v>
      </x:c>
      <x:c r="C29" s="22" t="str">
        <x:v>Evaluation Runner</x:v>
      </x:c>
      <x:c r="D29" s="22" t="str">
        <x:v>CLI/Service</x:v>
      </x:c>
      <x:c r="E29" s="22" t="str">
        <x:v>구축 서버</x:v>
      </x:c>
      <x:c r="F29" s="22" t="str">
        <x:v>Agent·RAG 버전별 자동 평가</x:v>
      </x:c>
      <x:c r="G29" s="22" t="str">
        <x:v>RAG 1.0과 1.1 Recall 비교</x:v>
      </x:c>
      <x:c r="H29" s="22" t="str">
        <x:v>M09/M12</x:v>
      </x:c>
      <x:c r="I29" s="22" t="str">
        <x:v>MVP</x:v>
      </x:c>
    </x:row>
    <x:row r="30">
      <x:c r="A30" s="23" t="str">
        <x:v>공통 운영</x:v>
      </x:c>
      <x:c r="B30" s="23" t="str">
        <x:v>수명주기</x:v>
      </x:c>
      <x:c r="C30" s="23" t="str">
        <x:v>Lifecycle Management</x:v>
      </x:c>
      <x:c r="D30" s="23" t="str">
        <x:v>Portal Module</x:v>
      </x:c>
      <x:c r="E30" s="23" t="str">
        <x:v>중앙 서버</x:v>
      </x:c>
      <x:c r="F30" s="23" t="str">
        <x:v>중단·폐기·회수·대체 안내</x:v>
      </x:c>
      <x:c r="G30" s="23" t="str">
        <x:v>취약 MCP 1.0 차단</x:v>
      </x:c>
      <x:c r="H30" s="23" t="str">
        <x:v>M02/M11</x:v>
      </x:c>
      <x:c r="I30" s="23" t="str">
        <x:v>확장</x:v>
      </x:c>
    </x:row>
  </x:sheetData>
  <x:mergeCells>
    <x:mergeCell ref="A1:I1"/>
    <x:mergeCell ref="A2:I2"/>
  </x:mergeCells>
  <x:conditionalFormatting sqref="I5:I30">
    <x:cfRule type="containsText" dxfId="6" priority="1" operator="containsText" text="MVP"/>
  </x:conditionalFormatting>
  <x:pageMargins left="0.7" right="0.7" top="0.75" bottom="0.75" header="0.3" footer="0.3"/>
  <x:tableParts count="1">
    <x:tablePart xmlns:r="http://schemas.openxmlformats.org/officeDocument/2006/relationships" r:id="R59962bc794f646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9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4" hidden="0" customWidth="1"/>
    <x:col min="15" max="15" width="28" hidden="0" customWidth="1"/>
    <x:col min="16" max="16" width="32" hidden="0" customWidth="1"/>
  </x:cols>
  <x:sheetData>
    <x:row r="1" ht="34" customHeight="1">
      <x:c r="A1" s="58" t="str">
        <x:v>10주 권장 일정과 모듈 의존성</x:v>
      </x:c>
      <x:c r="B1" s="58" t="str">
        <x:v>10주 권장 일정과 모듈 의존성</x:v>
      </x:c>
      <x:c r="C1" s="58" t="str">
        <x:v>10주 권장 일정과 모듈 의존성</x:v>
      </x:c>
      <x:c r="D1" s="58" t="str">
        <x:v>10주 권장 일정과 모듈 의존성</x:v>
      </x:c>
      <x:c r="E1" s="58" t="str">
        <x:v>10주 권장 일정과 모듈 의존성</x:v>
      </x:c>
      <x:c r="F1" s="58" t="str">
        <x:v>10주 권장 일정과 모듈 의존성</x:v>
      </x:c>
      <x:c r="G1" s="58" t="str">
        <x:v>10주 권장 일정과 모듈 의존성</x:v>
      </x:c>
      <x:c r="H1" s="58" t="str">
        <x:v>10주 권장 일정과 모듈 의존성</x:v>
      </x:c>
      <x:c r="I1" s="58" t="str">
        <x:v>10주 권장 일정과 모듈 의존성</x:v>
      </x:c>
      <x:c r="J1" s="58" t="str">
        <x:v>10주 권장 일정과 모듈 의존성</x:v>
      </x:c>
      <x:c r="K1" s="58" t="str">
        <x:v>10주 권장 일정과 모듈 의존성</x:v>
      </x:c>
      <x:c r="L1" s="58" t="str">
        <x:v>10주 권장 일정과 모듈 의존성</x:v>
      </x:c>
      <x:c r="M1" s="58" t="str">
        <x:v>10주 권장 일정과 모듈 의존성</x:v>
      </x:c>
      <x:c r="N1" s="58" t="str">
        <x:v>10주 권장 일정과 모듈 의존성</x:v>
      </x:c>
      <x:c r="O1" s="58" t="str">
        <x:v>10주 권장 일정과 모듈 의존성</x:v>
      </x:c>
      <x:c r="P1" s="58" t="str">
        <x:v>10주 권장 일정과 모듈 의존성</x:v>
      </x:c>
    </x:row>
    <x:row r="2" ht="28" customHeight="1">
      <x:c r="A2" s="59" t="str">
        <x:v>설계 2주 → 코어 개발 3주 → 통합 3주 → 검증·데모 2주 | 실제 일정은 연구회 상황에 맞게 조정</x:v>
      </x:c>
      <x:c r="B2" s="59" t="str">
        <x:v>설계 2주 → 코어 개발 3주 → 통합 3주 → 검증·데모 2주 | 실제 일정은 연구회 상황에 맞게 조정</x:v>
      </x:c>
      <x:c r="C2" s="59" t="str">
        <x:v>설계 2주 → 코어 개발 3주 → 통합 3주 → 검증·데모 2주 | 실제 일정은 연구회 상황에 맞게 조정</x:v>
      </x:c>
      <x:c r="D2" s="59" t="str">
        <x:v>설계 2주 → 코어 개발 3주 → 통합 3주 → 검증·데모 2주 | 실제 일정은 연구회 상황에 맞게 조정</x:v>
      </x:c>
      <x:c r="E2" s="59" t="str">
        <x:v>설계 2주 → 코어 개발 3주 → 통합 3주 → 검증·데모 2주 | 실제 일정은 연구회 상황에 맞게 조정</x:v>
      </x:c>
      <x:c r="F2" s="59" t="str">
        <x:v>설계 2주 → 코어 개발 3주 → 통합 3주 → 검증·데모 2주 | 실제 일정은 연구회 상황에 맞게 조정</x:v>
      </x:c>
      <x:c r="G2" s="59" t="str">
        <x:v>설계 2주 → 코어 개발 3주 → 통합 3주 → 검증·데모 2주 | 실제 일정은 연구회 상황에 맞게 조정</x:v>
      </x:c>
      <x:c r="H2" s="59" t="str">
        <x:v>설계 2주 → 코어 개발 3주 → 통합 3주 → 검증·데모 2주 | 실제 일정은 연구회 상황에 맞게 조정</x:v>
      </x:c>
      <x:c r="I2" s="59" t="str">
        <x:v>설계 2주 → 코어 개발 3주 → 통합 3주 → 검증·데모 2주 | 실제 일정은 연구회 상황에 맞게 조정</x:v>
      </x:c>
      <x:c r="J2" s="59" t="str">
        <x:v>설계 2주 → 코어 개발 3주 → 통합 3주 → 검증·데모 2주 | 실제 일정은 연구회 상황에 맞게 조정</x:v>
      </x:c>
      <x:c r="K2" s="59" t="str">
        <x:v>설계 2주 → 코어 개발 3주 → 통합 3주 → 검증·데모 2주 | 실제 일정은 연구회 상황에 맞게 조정</x:v>
      </x:c>
      <x:c r="L2" s="59" t="str">
        <x:v>설계 2주 → 코어 개발 3주 → 통합 3주 → 검증·데모 2주 | 실제 일정은 연구회 상황에 맞게 조정</x:v>
      </x:c>
      <x:c r="M2" s="59" t="str">
        <x:v>설계 2주 → 코어 개발 3주 → 통합 3주 → 검증·데모 2주 | 실제 일정은 연구회 상황에 맞게 조정</x:v>
      </x:c>
      <x:c r="N2" s="59" t="str">
        <x:v>설계 2주 → 코어 개발 3주 → 통합 3주 → 검증·데모 2주 | 실제 일정은 연구회 상황에 맞게 조정</x:v>
      </x:c>
      <x:c r="O2" s="59" t="str">
        <x:v>설계 2주 → 코어 개발 3주 → 통합 3주 → 검증·데모 2주 | 실제 일정은 연구회 상황에 맞게 조정</x:v>
      </x:c>
      <x:c r="P2" s="59" t="str">
        <x:v>설계 2주 → 코어 개발 3주 → 통합 3주 → 검증·데모 2주 | 실제 일정은 연구회 상황에 맞게 조정</x:v>
      </x:c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</x:row>
    <x:row r="4" ht="32" customHeight="1">
      <x:c r="A4" s="70" t="str">
        <x:v>모듈</x:v>
      </x:c>
      <x:c r="B4" s="70" t="str">
        <x:v>담당</x:v>
      </x:c>
      <x:c r="C4" s="70" t="str">
        <x:v>선행 모듈</x:v>
      </x:c>
      <x:c r="D4" s="70" t="str">
        <x:v>W1</x:v>
      </x:c>
      <x:c r="E4" s="70" t="str">
        <x:v>W2</x:v>
      </x:c>
      <x:c r="F4" s="70" t="str">
        <x:v>W3</x:v>
      </x:c>
      <x:c r="G4" s="70" t="str">
        <x:v>W4</x:v>
      </x:c>
      <x:c r="H4" s="70" t="str">
        <x:v>W5</x:v>
      </x:c>
      <x:c r="I4" s="70" t="str">
        <x:v>W6</x:v>
      </x:c>
      <x:c r="J4" s="70" t="str">
        <x:v>W7</x:v>
      </x:c>
      <x:c r="K4" s="70" t="str">
        <x:v>W8</x:v>
      </x:c>
      <x:c r="L4" s="70" t="str">
        <x:v>W9</x:v>
      </x:c>
      <x:c r="M4" s="70" t="str">
        <x:v>W10</x:v>
      </x:c>
      <x:c r="N4" s="70" t="str">
        <x:v>주요 통합점</x:v>
      </x:c>
      <x:c r="O4" s="70" t="str">
        <x:v>리스크</x:v>
      </x:c>
      <x:c r="P4" s="70" t="str">
        <x:v>완료 기준</x:v>
      </x:c>
    </x:row>
    <x:row r="5">
      <x:c r="A5" s="21" t="str">
        <x:v>M01</x:v>
      </x:c>
      <x:c r="B5" s="21" t="str">
        <x:v>회원 01</x:v>
      </x:c>
      <x:c r="C5" s="21" t="str">
        <x:v>M02, M06</x:v>
      </x:c>
      <x:c r="D5" s="21" t="str"/>
      <x:c r="E5" s="21" t="str">
        <x:v>설계</x:v>
      </x:c>
      <x:c r="F5" s="21" t="str">
        <x:v>개발</x:v>
      </x:c>
      <x:c r="G5" s="21" t="str">
        <x:v>개발</x:v>
      </x:c>
      <x:c r="H5" s="21" t="str">
        <x:v>개발</x:v>
      </x:c>
      <x:c r="I5" s="21" t="str">
        <x:v>통합</x:v>
      </x:c>
      <x:c r="J5" s="21" t="str">
        <x:v>통합</x:v>
      </x:c>
      <x:c r="K5" s="21" t="str">
        <x:v>검증</x:v>
      </x:c>
      <x:c r="L5" s="21" t="str"/>
      <x:c r="M5" s="21" t="str"/>
      <x:c r="N5" s="21" t="str">
        <x:v>M02·M03</x:v>
      </x:c>
      <x:c r="O5" s="21" t="str">
        <x:v>계약 변경·통합 지연</x:v>
      </x:c>
      <x:c r="P5" s="21" t="str">
        <x:v>핵심 사용자 흐름 E2E 성공</x:v>
      </x:c>
    </x:row>
    <x:row r="6">
      <x:c r="A6" s="22" t="str">
        <x:v>M02</x:v>
      </x:c>
      <x:c r="B6" s="22" t="str">
        <x:v>회원 02</x:v>
      </x:c>
      <x:c r="C6" s="22" t="str">
        <x:v>M06, M11</x:v>
      </x:c>
      <x:c r="D6" s="22" t="str">
        <x:v>설계</x:v>
      </x:c>
      <x:c r="E6" s="22" t="str">
        <x:v>설계</x:v>
      </x:c>
      <x:c r="F6" s="22" t="str">
        <x:v>개발</x:v>
      </x:c>
      <x:c r="G6" s="22" t="str">
        <x:v>개발</x:v>
      </x:c>
      <x:c r="H6" s="22" t="str">
        <x:v>개발</x:v>
      </x:c>
      <x:c r="I6" s="22" t="str">
        <x:v>통합</x:v>
      </x:c>
      <x:c r="J6" s="22" t="str">
        <x:v>통합</x:v>
      </x:c>
      <x:c r="K6" s="22" t="str">
        <x:v>검증</x:v>
      </x:c>
      <x:c r="L6" s="22" t="str"/>
      <x:c r="M6" s="22" t="str"/>
      <x:c r="N6" s="22" t="str">
        <x:v>M01·M03·M11</x:v>
      </x:c>
      <x:c r="O6" s="22" t="str">
        <x:v>핵심 모듈 지연 시 연쇄 영향</x:v>
      </x:c>
      <x:c r="P6" s="22" t="str">
        <x:v>등록·조회·버전·의존성 API 계약 통과</x:v>
      </x:c>
    </x:row>
    <x:row r="7">
      <x:c r="A7" s="22" t="str">
        <x:v>M03</x:v>
      </x:c>
      <x:c r="B7" s="22" t="str">
        <x:v>회원 03</x:v>
      </x:c>
      <x:c r="C7" s="22" t="str">
        <x:v>M02, M06, M11</x:v>
      </x:c>
      <x:c r="D7" s="22" t="str"/>
      <x:c r="E7" s="22" t="str"/>
      <x:c r="F7" s="22" t="str">
        <x:v>설계</x:v>
      </x:c>
      <x:c r="G7" s="22" t="str">
        <x:v>개발</x:v>
      </x:c>
      <x:c r="H7" s="22" t="str">
        <x:v>개발</x:v>
      </x:c>
      <x:c r="I7" s="22" t="str">
        <x:v>통합</x:v>
      </x:c>
      <x:c r="J7" s="22" t="str">
        <x:v>통합</x:v>
      </x:c>
      <x:c r="K7" s="22" t="str">
        <x:v>검증</x:v>
      </x:c>
      <x:c r="L7" s="22" t="str"/>
      <x:c r="M7" s="22" t="str"/>
      <x:c r="N7" s="22" t="str">
        <x:v>M02·M04</x:v>
      </x:c>
      <x:c r="O7" s="22" t="str">
        <x:v>계약 변경·통합 지연</x:v>
      </x:c>
      <x:c r="P7" s="22" t="str">
        <x:v>번들 생성→반입→설치 재현 성공</x:v>
      </x:c>
    </x:row>
    <x:row r="8">
      <x:c r="A8" s="22" t="str">
        <x:v>M04</x:v>
      </x:c>
      <x:c r="B8" s="22" t="str">
        <x:v>회원 04</x:v>
      </x:c>
      <x:c r="C8" s="22" t="str">
        <x:v>M05, M06, M03</x:v>
      </x:c>
      <x:c r="D8" s="22" t="str"/>
      <x:c r="E8" s="22" t="str"/>
      <x:c r="F8" s="22" t="str">
        <x:v>설계</x:v>
      </x:c>
      <x:c r="G8" s="22" t="str">
        <x:v>개발</x:v>
      </x:c>
      <x:c r="H8" s="22" t="str">
        <x:v>개발</x:v>
      </x:c>
      <x:c r="I8" s="22" t="str">
        <x:v>통합</x:v>
      </x:c>
      <x:c r="J8" s="22" t="str">
        <x:v>통합</x:v>
      </x:c>
      <x:c r="K8" s="22" t="str">
        <x:v>통합</x:v>
      </x:c>
      <x:c r="L8" s="22" t="str">
        <x:v>검증</x:v>
      </x:c>
      <x:c r="M8" s="22" t="str"/>
      <x:c r="N8" s="22" t="str">
        <x:v>M03·M05·M12</x:v>
      </x:c>
      <x:c r="O8" s="22" t="str">
        <x:v>계약 변경·통합 지연</x:v>
      </x:c>
      <x:c r="P8" s="22" t="str">
        <x:v>비개발자 기준 설치·실행 시나리오 통과</x:v>
      </x:c>
    </x:row>
    <x:row r="9">
      <x:c r="A9" s="22" t="str">
        <x:v>M05</x:v>
      </x:c>
      <x:c r="B9" s="22" t="str">
        <x:v>회원 05</x:v>
      </x:c>
      <x:c r="C9" s="22" t="str">
        <x:v>M06, M08, M10</x:v>
      </x:c>
      <x:c r="D9" s="22" t="str"/>
      <x:c r="E9" s="22" t="str">
        <x:v>설계</x:v>
      </x:c>
      <x:c r="F9" s="22" t="str">
        <x:v>개발</x:v>
      </x:c>
      <x:c r="G9" s="22" t="str">
        <x:v>개발</x:v>
      </x:c>
      <x:c r="H9" s="22" t="str">
        <x:v>개발</x:v>
      </x:c>
      <x:c r="I9" s="22" t="str">
        <x:v>통합</x:v>
      </x:c>
      <x:c r="J9" s="22" t="str">
        <x:v>통합</x:v>
      </x:c>
      <x:c r="K9" s="22" t="str">
        <x:v>통합</x:v>
      </x:c>
      <x:c r="L9" s="22" t="str">
        <x:v>검증</x:v>
      </x:c>
      <x:c r="M9" s="22" t="str"/>
      <x:c r="N9" s="22" t="str">
        <x:v>M04·M08·M10</x:v>
      </x:c>
      <x:c r="O9" s="22" t="str">
        <x:v>핵심 모듈 지연 시 연쇄 영향</x:v>
      </x:c>
      <x:c r="P9" s="22" t="str">
        <x:v>참조 Agent의 전체 실행 흐름 성공</x:v>
      </x:c>
    </x:row>
    <x:row r="10">
      <x:c r="A10" s="22" t="str">
        <x:v>M06</x:v>
      </x:c>
      <x:c r="B10" s="22" t="str">
        <x:v>회원 06</x:v>
      </x:c>
      <x:c r="C10" s="22" t="str">
        <x:v>없음</x:v>
      </x:c>
      <x:c r="D10" s="22" t="str">
        <x:v>설계</x:v>
      </x:c>
      <x:c r="E10" s="22" t="str">
        <x:v>설계</x:v>
      </x:c>
      <x:c r="F10" s="22" t="str">
        <x:v>개발</x:v>
      </x:c>
      <x:c r="G10" s="22" t="str">
        <x:v>개발</x:v>
      </x:c>
      <x:c r="H10" s="22" t="str">
        <x:v>검증</x:v>
      </x:c>
      <x:c r="I10" s="22" t="str">
        <x:v>검증</x:v>
      </x:c>
      <x:c r="J10" s="22" t="str"/>
      <x:c r="K10" s="22" t="str"/>
      <x:c r="L10" s="22" t="str"/>
      <x:c r="M10" s="22" t="str"/>
      <x:c r="N10" s="22" t="str">
        <x:v>전 모듈</x:v>
      </x:c>
      <x:c r="O10" s="22" t="str">
        <x:v>계약 변경·통합 지연</x:v>
      </x:c>
      <x:c r="P10" s="22" t="str">
        <x:v>모든 모듈이 동일 Schema로 패키지 교환</x:v>
      </x:c>
    </x:row>
    <x:row r="11">
      <x:c r="A11" s="22" t="str">
        <x:v>M07</x:v>
      </x:c>
      <x:c r="B11" s="22" t="str">
        <x:v>회원 07</x:v>
      </x:c>
      <x:c r="C11" s="22" t="str">
        <x:v>M06</x:v>
      </x:c>
      <x:c r="D11" s="22" t="str">
        <x:v>설계</x:v>
      </x:c>
      <x:c r="E11" s="22" t="str">
        <x:v>개발</x:v>
      </x:c>
      <x:c r="F11" s="22" t="str">
        <x:v>개발</x:v>
      </x:c>
      <x:c r="G11" s="22" t="str">
        <x:v>개발</x:v>
      </x:c>
      <x:c r="H11" s="22" t="str">
        <x:v>개발</x:v>
      </x:c>
      <x:c r="I11" s="22" t="str">
        <x:v>통합</x:v>
      </x:c>
      <x:c r="J11" s="22" t="str">
        <x:v>통합</x:v>
      </x:c>
      <x:c r="K11" s="22" t="str">
        <x:v>검증</x:v>
      </x:c>
      <x:c r="L11" s="22" t="str"/>
      <x:c r="M11" s="22" t="str"/>
      <x:c r="N11" s="22" t="str">
        <x:v>M08·M09</x:v>
      </x:c>
      <x:c r="O11" s="22" t="str">
        <x:v>핵심 모듈 지연 시 연쇄 영향</x:v>
      </x:c>
      <x:c r="P11" s="22" t="str">
        <x:v>동일 Profile로 동일 인덱스 재생성</x:v>
      </x:c>
    </x:row>
    <x:row r="12">
      <x:c r="A12" s="22" t="str">
        <x:v>M08</x:v>
      </x:c>
      <x:c r="B12" s="22" t="str">
        <x:v>회원 08</x:v>
      </x:c>
      <x:c r="C12" s="22" t="str">
        <x:v>M06, M07</x:v>
      </x:c>
      <x:c r="D12" s="22" t="str"/>
      <x:c r="E12" s="22" t="str"/>
      <x:c r="F12" s="22" t="str">
        <x:v>설계</x:v>
      </x:c>
      <x:c r="G12" s="22" t="str">
        <x:v>개발</x:v>
      </x:c>
      <x:c r="H12" s="22" t="str">
        <x:v>개발</x:v>
      </x:c>
      <x:c r="I12" s="22" t="str">
        <x:v>통합</x:v>
      </x:c>
      <x:c r="J12" s="22" t="str">
        <x:v>통합</x:v>
      </x:c>
      <x:c r="K12" s="22" t="str">
        <x:v>통합</x:v>
      </x:c>
      <x:c r="L12" s="22" t="str">
        <x:v>검증</x:v>
      </x:c>
      <x:c r="M12" s="22" t="str"/>
      <x:c r="N12" s="22" t="str">
        <x:v>M05·M09</x:v>
      </x:c>
      <x:c r="O12" s="22" t="str">
        <x:v>핵심 모듈 지연 시 연쇄 영향</x:v>
      </x:c>
      <x:c r="P12" s="22" t="str">
        <x:v>Hybrid 검색 Recall@5 기준 충족</x:v>
      </x:c>
    </x:row>
    <x:row r="13">
      <x:c r="A13" s="22" t="str">
        <x:v>M09</x:v>
      </x:c>
      <x:c r="B13" s="22" t="str">
        <x:v>회원 09</x:v>
      </x:c>
      <x:c r="C13" s="22" t="str">
        <x:v>M06, M07, M08</x:v>
      </x:c>
      <x:c r="D13" s="22" t="str"/>
      <x:c r="E13" s="22" t="str"/>
      <x:c r="F13" s="22" t="str"/>
      <x:c r="G13" s="22" t="str">
        <x:v>설계</x:v>
      </x:c>
      <x:c r="H13" s="22" t="str">
        <x:v>개발</x:v>
      </x:c>
      <x:c r="I13" s="22" t="str">
        <x:v>개발</x:v>
      </x:c>
      <x:c r="J13" s="22" t="str">
        <x:v>통합</x:v>
      </x:c>
      <x:c r="K13" s="22" t="str">
        <x:v>통합</x:v>
      </x:c>
      <x:c r="L13" s="22" t="str">
        <x:v>검증</x:v>
      </x:c>
      <x:c r="M13" s="22" t="str">
        <x:v>검증</x:v>
      </x:c>
      <x:c r="N13" s="22" t="str">
        <x:v>M07·M08·M12</x:v>
      </x:c>
      <x:c r="O13" s="22" t="str">
        <x:v>계약 변경·통합 지연</x:v>
      </x:c>
      <x:c r="P13" s="22" t="str">
        <x:v>평가 결과와 패키지 Manifest 일치</x:v>
      </x:c>
    </x:row>
    <x:row r="14">
      <x:c r="A14" s="22" t="str">
        <x:v>M10</x:v>
      </x:c>
      <x:c r="B14" s="22" t="str">
        <x:v>회원 10</x:v>
      </x:c>
      <x:c r="C14" s="22" t="str">
        <x:v>M06, M11</x:v>
      </x:c>
      <x:c r="D14" s="22" t="str">
        <x:v>설계</x:v>
      </x:c>
      <x:c r="E14" s="22" t="str">
        <x:v>개발</x:v>
      </x:c>
      <x:c r="F14" s="22" t="str">
        <x:v>개발</x:v>
      </x:c>
      <x:c r="G14" s="22" t="str">
        <x:v>개발</x:v>
      </x:c>
      <x:c r="H14" s="22" t="str">
        <x:v>개발</x:v>
      </x:c>
      <x:c r="I14" s="22" t="str">
        <x:v>통합</x:v>
      </x:c>
      <x:c r="J14" s="22" t="str">
        <x:v>통합</x:v>
      </x:c>
      <x:c r="K14" s="22" t="str">
        <x:v>통합</x:v>
      </x:c>
      <x:c r="L14" s="22" t="str">
        <x:v>검증</x:v>
      </x:c>
      <x:c r="M14" s="22" t="str"/>
      <x:c r="N14" s="22" t="str">
        <x:v>M05·M11</x:v>
      </x:c>
      <x:c r="O14" s="22" t="str">
        <x:v>핵심 모듈 지연 시 연쇄 영향</x:v>
      </x:c>
      <x:c r="P14" s="22" t="str">
        <x:v>권한·입력검증·감사 포함 Tool 호출 성공</x:v>
      </x:c>
    </x:row>
    <x:row r="15">
      <x:c r="A15" s="22" t="str">
        <x:v>M11</x:v>
      </x:c>
      <x:c r="B15" s="22" t="str">
        <x:v>회원 11</x:v>
      </x:c>
      <x:c r="C15" s="22" t="str">
        <x:v>M06</x:v>
      </x:c>
      <x:c r="D15" s="22" t="str">
        <x:v>설계</x:v>
      </x:c>
      <x:c r="E15" s="22" t="str">
        <x:v>설계</x:v>
      </x:c>
      <x:c r="F15" s="22" t="str">
        <x:v>개발</x:v>
      </x:c>
      <x:c r="G15" s="22" t="str">
        <x:v>개발</x:v>
      </x:c>
      <x:c r="H15" s="22" t="str">
        <x:v>통합</x:v>
      </x:c>
      <x:c r="I15" s="22" t="str">
        <x:v>통합</x:v>
      </x:c>
      <x:c r="J15" s="22" t="str">
        <x:v>검증</x:v>
      </x:c>
      <x:c r="K15" s="22" t="str">
        <x:v>검증</x:v>
      </x:c>
      <x:c r="L15" s="22" t="str">
        <x:v>검증</x:v>
      </x:c>
      <x:c r="M15" s="22" t="str">
        <x:v>검증</x:v>
      </x:c>
      <x:c r="N15" s="22" t="str">
        <x:v>M02·M03·M10</x:v>
      </x:c>
      <x:c r="O15" s="22" t="str">
        <x:v>핵심 모듈 지연 시 연쇄 영향</x:v>
      </x:c>
      <x:c r="P15" s="22" t="str">
        <x:v>주요 위협 시나리오와 차단 정책 검증</x:v>
      </x:c>
    </x:row>
    <x:row r="16">
      <x:c r="A16" s="23" t="str">
        <x:v>M12</x:v>
      </x:c>
      <x:c r="B16" s="23" t="str">
        <x:v>회원 12</x:v>
      </x:c>
      <x:c r="C16" s="23" t="str">
        <x:v>전 모듈</x:v>
      </x:c>
      <x:c r="D16" s="23" t="str">
        <x:v>계획</x:v>
      </x:c>
      <x:c r="E16" s="23" t="str">
        <x:v>자동화</x:v>
      </x:c>
      <x:c r="F16" s="23" t="str">
        <x:v>자동화</x:v>
      </x:c>
      <x:c r="G16" s="23" t="str">
        <x:v>자동화</x:v>
      </x:c>
      <x:c r="H16" s="23" t="str">
        <x:v>통합</x:v>
      </x:c>
      <x:c r="I16" s="23" t="str">
        <x:v>통합</x:v>
      </x:c>
      <x:c r="J16" s="23" t="str">
        <x:v>통합</x:v>
      </x:c>
      <x:c r="K16" s="23" t="str">
        <x:v>통합</x:v>
      </x:c>
      <x:c r="L16" s="23" t="str">
        <x:v>검증</x:v>
      </x:c>
      <x:c r="M16" s="23" t="str">
        <x:v>데모</x:v>
      </x:c>
      <x:c r="N16" s="23" t="str">
        <x:v>전 모듈</x:v>
      </x:c>
      <x:c r="O16" s="23" t="str">
        <x:v>계약 변경·통합 지연</x:v>
      </x:c>
      <x:c r="P16" s="23" t="str">
        <x:v>통합 인수 기준과 데모 시나리오 통과</x:v>
      </x:c>
    </x:row>
  </x:sheetData>
  <x:mergeCells>
    <x:mergeCell ref="A1:P1"/>
    <x:mergeCell ref="A2:P2"/>
  </x:mergeCells>
  <x:conditionalFormatting sqref="D5:M16">
    <x:cfRule type="containsText" dxfId="7" priority="1" operator="containsText" text="설계"/>
    <x:cfRule type="containsText" dxfId="8" priority="2" operator="containsText" text="개발"/>
    <x:cfRule type="containsText" dxfId="9" priority="3" operator="containsText" text="통합"/>
    <x:cfRule type="containsText" dxfId="10" priority="4" operator="containsText" text="검증"/>
    <x:cfRule type="containsText" dxfId="11" priority="5" operator="containsText" text="계획"/>
    <x:cfRule type="containsText" dxfId="12" priority="6" operator="containsText" text="자동화"/>
    <x:cfRule type="containsText" dxfId="13" priority="7" operator="containsText" text="데모"/>
  </x:conditionalFormatting>
  <x:pageMargins left="0.7" right="0.7" top="0.75" bottom="0.75" header="0.3" footer="0.3"/>
  <x:tableParts count="1">
    <x:tablePart xmlns:r="http://schemas.openxmlformats.org/officeDocument/2006/relationships" r:id="R88b27238ff814b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26" hidden="0" customWidth="1"/>
    <x:col min="5" max="5" width="20" hidden="0" customWidth="1"/>
    <x:col min="6" max="6" width="34" hidden="0" customWidth="1"/>
    <x:col min="7" max="7" width="32" hidden="0" customWidth="1"/>
    <x:col min="8" max="8" width="12" hidden="0" customWidth="1"/>
    <x:col min="9" max="9" width="30" hidden="0" customWidth="1"/>
  </x:cols>
  <x:sheetData>
    <x:row r="1" ht="34" customHeight="1">
      <x:c r="A1" s="58" t="str">
        <x:v>모듈 간 통합 계약</x:v>
      </x:c>
      <x:c r="B1" s="58" t="str">
        <x:v>모듈 간 통합 계약</x:v>
      </x:c>
      <x:c r="C1" s="58" t="str">
        <x:v>모듈 간 통합 계약</x:v>
      </x:c>
      <x:c r="D1" s="58" t="str">
        <x:v>모듈 간 통합 계약</x:v>
      </x:c>
      <x:c r="E1" s="58" t="str">
        <x:v>모듈 간 통합 계약</x:v>
      </x:c>
      <x:c r="F1" s="58" t="str">
        <x:v>모듈 간 통합 계약</x:v>
      </x:c>
      <x:c r="G1" s="58" t="str">
        <x:v>모듈 간 통합 계약</x:v>
      </x:c>
      <x:c r="H1" s="58" t="str">
        <x:v>모듈 간 통합 계약</x:v>
      </x:c>
      <x:c r="I1" s="58" t="str">
        <x:v>모듈 간 통합 계약</x:v>
      </x:c>
    </x:row>
    <x:row r="2" ht="28" customHeight="1">
      <x:c r="A2" s="59" t="str">
        <x:v>바이브코딩 병렬 개발의 핵심: 제공자와 소비자가 코드가 아닌 명시적 계약으로 연결</x:v>
      </x:c>
      <x:c r="B2" s="59" t="str">
        <x:v>바이브코딩 병렬 개발의 핵심: 제공자와 소비자가 코드가 아닌 명시적 계약으로 연결</x:v>
      </x:c>
      <x:c r="C2" s="59" t="str">
        <x:v>바이브코딩 병렬 개발의 핵심: 제공자와 소비자가 코드가 아닌 명시적 계약으로 연결</x:v>
      </x:c>
      <x:c r="D2" s="59" t="str">
        <x:v>바이브코딩 병렬 개발의 핵심: 제공자와 소비자가 코드가 아닌 명시적 계약으로 연결</x:v>
      </x:c>
      <x:c r="E2" s="59" t="str">
        <x:v>바이브코딩 병렬 개발의 핵심: 제공자와 소비자가 코드가 아닌 명시적 계약으로 연결</x:v>
      </x:c>
      <x:c r="F2" s="59" t="str">
        <x:v>바이브코딩 병렬 개발의 핵심: 제공자와 소비자가 코드가 아닌 명시적 계약으로 연결</x:v>
      </x:c>
      <x:c r="G2" s="59" t="str">
        <x:v>바이브코딩 병렬 개발의 핵심: 제공자와 소비자가 코드가 아닌 명시적 계약으로 연결</x:v>
      </x:c>
      <x:c r="H2" s="59" t="str">
        <x:v>바이브코딩 병렬 개발의 핵심: 제공자와 소비자가 코드가 아닌 명시적 계약으로 연결</x:v>
      </x:c>
      <x:c r="I2" s="59" t="str">
        <x:v>바이브코딩 병렬 개발의 핵심: 제공자와 소비자가 코드가 아닌 명시적 계약으로 연결</x:v>
      </x:c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</x:row>
    <x:row r="4" ht="32" customHeight="1">
      <x:c r="A4" s="70" t="str">
        <x:v>계약 ID</x:v>
      </x:c>
      <x:c r="B4" s="70" t="str">
        <x:v>제공 모듈</x:v>
      </x:c>
      <x:c r="C4" s="70" t="str">
        <x:v>소비 모듈</x:v>
      </x:c>
      <x:c r="D4" s="70" t="str">
        <x:v>계약 이름</x:v>
      </x:c>
      <x:c r="E4" s="70" t="str">
        <x:v>형식</x:v>
      </x:c>
      <x:c r="F4" s="70" t="str">
        <x:v>핵심 내용</x:v>
      </x:c>
      <x:c r="G4" s="70" t="str">
        <x:v>사용 예시</x:v>
      </x:c>
      <x:c r="H4" s="70" t="str">
        <x:v>확정 시점</x:v>
      </x:c>
      <x:c r="I4" s="70" t="str">
        <x:v>인수 기준</x:v>
      </x:c>
    </x:row>
    <x:row r="5">
      <x:c r="A5" s="24" t="str">
        <x:v>C01</x:v>
      </x:c>
      <x:c r="B5" s="21" t="str">
        <x:v>M01</x:v>
      </x:c>
      <x:c r="C5" s="21" t="str">
        <x:v>M02</x:v>
      </x:c>
      <x:c r="D5" s="21" t="str">
        <x:v>Portal REST API</x:v>
      </x:c>
      <x:c r="E5" s="21" t="str">
        <x:v>OpenAPI JSON</x:v>
      </x:c>
      <x:c r="F5" s="21" t="str">
        <x:v>자산 목록·상세·검색·등록</x:v>
      </x:c>
      <x:c r="G5" s="21" t="str">
        <x:v>Mock API로 화면 선행 개발</x:v>
      </x:c>
      <x:c r="H5" s="21" t="str">
        <x:v>W1</x:v>
      </x:c>
      <x:c r="I5" s="21" t="str">
        <x:v>계약 테스트 통과</x:v>
      </x:c>
    </x:row>
    <x:row r="6">
      <x:c r="A6" s="25" t="str">
        <x:v>C02</x:v>
      </x:c>
      <x:c r="B6" s="22" t="str">
        <x:v>M02</x:v>
      </x:c>
      <x:c r="C6" s="22" t="str">
        <x:v>M03</x:v>
      </x:c>
      <x:c r="D6" s="22" t="str">
        <x:v>Asset/Version API</x:v>
      </x:c>
      <x:c r="E6" s="22" t="str">
        <x:v>JSON</x:v>
      </x:c>
      <x:c r="F6" s="22" t="str">
        <x:v>승인 파일·버전·의존성 조회</x:v>
      </x:c>
      <x:c r="G6" s="22" t="str">
        <x:v>Bundle 대상 자산 수집</x:v>
      </x:c>
      <x:c r="H6" s="22" t="str">
        <x:v>W2</x:v>
      </x:c>
      <x:c r="I6" s="22" t="str">
        <x:v>누락 의존성 오류 표준화</x:v>
      </x:c>
    </x:row>
    <x:row r="7">
      <x:c r="A7" s="25" t="str">
        <x:v>C03</x:v>
      </x:c>
      <x:c r="B7" s="22" t="str">
        <x:v>M02</x:v>
      </x:c>
      <x:c r="C7" s="22" t="str">
        <x:v>M11</x:v>
      </x:c>
      <x:c r="D7" s="22" t="str">
        <x:v>Lifecycle/RBAC</x:v>
      </x:c>
      <x:c r="E7" s="22" t="str">
        <x:v>Policy+API</x:v>
      </x:c>
      <x:c r="F7" s="22" t="str">
        <x:v>상태 전환·역할 권한</x:v>
      </x:c>
      <x:c r="G7" s="22" t="str">
        <x:v>승인 전 다운로드 차단</x:v>
      </x:c>
      <x:c r="H7" s="22" t="str">
        <x:v>W2</x:v>
      </x:c>
      <x:c r="I7" s="22" t="str">
        <x:v>권한 테스트 통과</x:v>
      </x:c>
    </x:row>
    <x:row r="8">
      <x:c r="A8" s="25" t="str">
        <x:v>C04</x:v>
      </x:c>
      <x:c r="B8" s="22" t="str">
        <x:v>M03</x:v>
      </x:c>
      <x:c r="C8" s="22" t="str">
        <x:v>M04</x:v>
      </x:c>
      <x:c r="D8" s="22" t="str">
        <x:v>Offline Bundle</x:v>
      </x:c>
      <x:c r="E8" s="22" t="str">
        <x:v>ZIP+YAML</x:v>
      </x:c>
      <x:c r="F8" s="22" t="str">
        <x:v>bundle-manifest·checksums·assets</x:v>
      </x:c>
      <x:c r="G8" s="22" t="str">
        <x:v>Desktop에서 가져오기</x:v>
      </x:c>
      <x:c r="H8" s="22" t="str">
        <x:v>W4</x:v>
      </x:c>
      <x:c r="I8" s="22" t="str">
        <x:v>생성→설치 왕복 테스트</x:v>
      </x:c>
    </x:row>
    <x:row r="9">
      <x:c r="A9" s="25" t="str">
        <x:v>C05</x:v>
      </x:c>
      <x:c r="B9" s="22" t="str">
        <x:v>M04</x:v>
      </x:c>
      <x:c r="C9" s="22" t="str">
        <x:v>M05</x:v>
      </x:c>
      <x:c r="D9" s="22" t="str">
        <x:v>Local Runtime API</x:v>
      </x:c>
      <x:c r="E9" s="22" t="str">
        <x:v>Python API/Event</x:v>
      </x:c>
      <x:c r="F9" s="22" t="str">
        <x:v>실행·취소·진행 이벤트·응답</x:v>
      </x:c>
      <x:c r="G9" s="22" t="str">
        <x:v>채팅에서 스트리밍 표시</x:v>
      </x:c>
      <x:c r="H9" s="22" t="str">
        <x:v>W3</x:v>
      </x:c>
      <x:c r="I9" s="22" t="str">
        <x:v>취소·오류 시나리오 포함</x:v>
      </x:c>
    </x:row>
    <x:row r="10">
      <x:c r="A10" s="25" t="str">
        <x:v>C06</x:v>
      </x:c>
      <x:c r="B10" s="22" t="str">
        <x:v>M05</x:v>
      </x:c>
      <x:c r="C10" s="22" t="str">
        <x:v>M06</x:v>
      </x:c>
      <x:c r="D10" s="22" t="str">
        <x:v>Agent Manifest</x:v>
      </x:c>
      <x:c r="E10" s="22" t="str">
        <x:v>YAML+JSON Schema</x:v>
      </x:c>
      <x:c r="F10" s="22" t="str">
        <x:v>entrypoint·dependencies·permissions</x:v>
      </x:c>
      <x:c r="G10" s="22" t="str">
        <x:v>Package Loader가 검증</x:v>
      </x:c>
      <x:c r="H10" s="22" t="str">
        <x:v>W1</x:v>
      </x:c>
      <x:c r="I10" s="22" t="str">
        <x:v>샘플 Agent 로드</x:v>
      </x:c>
    </x:row>
    <x:row r="11">
      <x:c r="A11" s="25" t="str">
        <x:v>C07</x:v>
      </x:c>
      <x:c r="B11" s="22" t="str">
        <x:v>M05</x:v>
      </x:c>
      <x:c r="C11" s="22" t="str">
        <x:v>M08</x:v>
      </x:c>
      <x:c r="D11" s="22" t="str">
        <x:v>RAG Search API</x:v>
      </x:c>
      <x:c r="E11" s="22" t="str">
        <x:v>JSON</x:v>
      </x:c>
      <x:c r="F11" s="22" t="str">
        <x:v>query·profile→documents·citations</x:v>
      </x:c>
      <x:c r="G11" s="22" t="str">
        <x:v>Agent가 검색 문맥 수신</x:v>
      </x:c>
      <x:c r="H11" s="22" t="str">
        <x:v>W4</x:v>
      </x:c>
      <x:c r="I11" s="22" t="str">
        <x:v>빈 결과·오류 포함</x:v>
      </x:c>
    </x:row>
    <x:row r="12">
      <x:c r="A12" s="25" t="str">
        <x:v>C08</x:v>
      </x:c>
      <x:c r="B12" s="22" t="str">
        <x:v>M05</x:v>
      </x:c>
      <x:c r="C12" s="22" t="str">
        <x:v>M10</x:v>
      </x:c>
      <x:c r="D12" s="22" t="str">
        <x:v>MCP Client Contract</x:v>
      </x:c>
      <x:c r="E12" s="22" t="str">
        <x:v>MCP Schema</x:v>
      </x:c>
      <x:c r="F12" s="22" t="str">
        <x:v>tool discovery·invoke·error</x:v>
      </x:c>
      <x:c r="G12" s="22" t="str">
        <x:v>Runtime이 DB Tool 호출</x:v>
      </x:c>
      <x:c r="H12" s="22" t="str">
        <x:v>W4</x:v>
      </x:c>
      <x:c r="I12" s="22" t="str">
        <x:v>Timeout·권한 오류 포함</x:v>
      </x:c>
    </x:row>
    <x:row r="13">
      <x:c r="A13" s="25" t="str">
        <x:v>C09</x:v>
      </x:c>
      <x:c r="B13" s="22" t="str">
        <x:v>M06</x:v>
      </x:c>
      <x:c r="C13" s="22" t="str">
        <x:v>M07</x:v>
      </x:c>
      <x:c r="D13" s="22" t="str">
        <x:v>Indexing Profile</x:v>
      </x:c>
      <x:c r="E13" s="22" t="str">
        <x:v>YAML+Schema</x:v>
      </x:c>
      <x:c r="F13" s="22" t="str">
        <x:v>loader·chunk·embedding·store</x:v>
      </x:c>
      <x:c r="G13" s="22" t="str">
        <x:v>동일 설정으로 재색인</x:v>
      </x:c>
      <x:c r="H13" s="22" t="str">
        <x:v>W1</x:v>
      </x:c>
      <x:c r="I13" s="22" t="str">
        <x:v>Schema Validator 통과</x:v>
      </x:c>
    </x:row>
    <x:row r="14">
      <x:c r="A14" s="25" t="str">
        <x:v>C10</x:v>
      </x:c>
      <x:c r="B14" s="22" t="str">
        <x:v>M06</x:v>
      </x:c>
      <x:c r="C14" s="22" t="str">
        <x:v>M08</x:v>
      </x:c>
      <x:c r="D14" s="22" t="str">
        <x:v>Retrieval Profile</x:v>
      </x:c>
      <x:c r="E14" s="22" t="str">
        <x:v>YAML+Schema</x:v>
      </x:c>
      <x:c r="F14" s="22" t="str">
        <x:v>vector·bm25·rrf·filter·context</x:v>
      </x:c>
      <x:c r="G14" s="22" t="str">
        <x:v>검색 전략 교체</x:v>
      </x:c>
      <x:c r="H14" s="22" t="str">
        <x:v>W2</x:v>
      </x:c>
      <x:c r="I14" s="22" t="str">
        <x:v>기본값·범위 검증</x:v>
      </x:c>
    </x:row>
    <x:row r="15">
      <x:c r="A15" s="25" t="str">
        <x:v>C11</x:v>
      </x:c>
      <x:c r="B15" s="22" t="str">
        <x:v>M07</x:v>
      </x:c>
      <x:c r="C15" s="22" t="str">
        <x:v>M08</x:v>
      </x:c>
      <x:c r="D15" s="22" t="str">
        <x:v>RAG Index Layout</x:v>
      </x:c>
      <x:c r="E15" s="22" t="str">
        <x:v>Folder+Manifest</x:v>
      </x:c>
      <x:c r="F15" s="22" t="str">
        <x:v>chunks·parents·chroma·bm25</x:v>
      </x:c>
      <x:c r="G15" s="22" t="str">
        <x:v>Search Runtime 로딩</x:v>
      </x:c>
      <x:c r="H15" s="22" t="str">
        <x:v>W3</x:v>
      </x:c>
      <x:c r="I15" s="22" t="str">
        <x:v>인덱스 호환성 검사</x:v>
      </x:c>
    </x:row>
    <x:row r="16">
      <x:c r="A16" s="25" t="str">
        <x:v>C12</x:v>
      </x:c>
      <x:c r="B16" s="22" t="str">
        <x:v>M07</x:v>
      </x:c>
      <x:c r="C16" s="22" t="str">
        <x:v>M09</x:v>
      </x:c>
      <x:c r="D16" s="22" t="str">
        <x:v>Index Build Result</x:v>
      </x:c>
      <x:c r="E16" s="22" t="str">
        <x:v>JSONL+Stats</x:v>
      </x:c>
      <x:c r="F16" s="22" t="str">
        <x:v>문서·청크·오류·시간</x:v>
      </x:c>
      <x:c r="G16" s="22" t="str">
        <x:v>패키징과 평가에 사용</x:v>
      </x:c>
      <x:c r="H16" s="22" t="str">
        <x:v>W4</x:v>
      </x:c>
      <x:c r="I16" s="22" t="str">
        <x:v>개수 대사 일치</x:v>
      </x:c>
    </x:row>
    <x:row r="17">
      <x:c r="A17" s="25" t="str">
        <x:v>C13</x:v>
      </x:c>
      <x:c r="B17" s="22" t="str">
        <x:v>M08</x:v>
      </x:c>
      <x:c r="C17" s="22" t="str">
        <x:v>M09</x:v>
      </x:c>
      <x:c r="D17" s="22" t="str">
        <x:v>Search Trace</x:v>
      </x:c>
      <x:c r="E17" s="22" t="str">
        <x:v>JSONL</x:v>
      </x:c>
      <x:c r="F17" s="22" t="str">
        <x:v>query·ranks·scores·latency</x:v>
      </x:c>
      <x:c r="G17" s="22" t="str">
        <x:v>Recall·성능 평가</x:v>
      </x:c>
      <x:c r="H17" s="22" t="str">
        <x:v>W5</x:v>
      </x:c>
      <x:c r="I17" s="22" t="str">
        <x:v>평가 Runner가 읽기 가능</x:v>
      </x:c>
    </x:row>
    <x:row r="18">
      <x:c r="A18" s="25" t="str">
        <x:v>C14</x:v>
      </x:c>
      <x:c r="B18" s="22" t="str">
        <x:v>M10</x:v>
      </x:c>
      <x:c r="C18" s="22" t="str">
        <x:v>M11</x:v>
      </x:c>
      <x:c r="D18" s="22" t="str">
        <x:v>MCP Audit/Auth</x:v>
      </x:c>
      <x:c r="E18" s="22" t="str">
        <x:v>Policy+Log Schema</x:v>
      </x:c>
      <x:c r="F18" s="22" t="str">
        <x:v>user·agent·tool·scope·result</x:v>
      </x:c>
      <x:c r="G18" s="22" t="str">
        <x:v>권한과 감사 연결</x:v>
      </x:c>
      <x:c r="H18" s="22" t="str">
        <x:v>W2</x:v>
      </x:c>
      <x:c r="I18" s="22" t="str">
        <x:v>공용 관리자 우회 금지</x:v>
      </x:c>
    </x:row>
    <x:row r="19">
      <x:c r="A19" s="26" t="str">
        <x:v>C15</x:v>
      </x:c>
      <x:c r="B19" s="23" t="str">
        <x:v>모든 모듈</x:v>
      </x:c>
      <x:c r="C19" s="23" t="str">
        <x:v>M12</x:v>
      </x:c>
      <x:c r="D19" s="23" t="str">
        <x:v>Test Evidence</x:v>
      </x:c>
      <x:c r="E19" s="23" t="str">
        <x:v>JUnit/JSON/Markdown</x:v>
      </x:c>
      <x:c r="F19" s="23" t="str">
        <x:v>테스트 결과·재현 방법</x:v>
      </x:c>
      <x:c r="G19" s="23" t="str">
        <x:v>PR과 릴리스 증거</x:v>
      </x:c>
      <x:c r="H19" s="23" t="str">
        <x:v>상시</x:v>
      </x:c>
      <x:c r="I19" s="23" t="str">
        <x:v>증거 없는 완료 처리 금지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885fbcc21414f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  <x:col min="6" max="6" width="12" hidden="0" customWidth="1"/>
  </x:cols>
  <x:sheetData>
    <x:row r="1" ht="34" customHeight="1">
      <x:c r="A1" s="58" t="str">
        <x:v>바이브코딩 협업 규칙과 난이도 기준</x:v>
      </x:c>
      <x:c r="B1" s="58" t="str">
        <x:v>바이브코딩 협업 규칙과 난이도 기준</x:v>
      </x:c>
      <x:c r="C1" s="58" t="str">
        <x:v>바이브코딩 협업 규칙과 난이도 기준</x:v>
      </x:c>
      <x:c r="D1" s="58" t="str">
        <x:v>바이브코딩 협업 규칙과 난이도 기준</x:v>
      </x:c>
      <x:c r="E1" s="58" t="str">
        <x:v>바이브코딩 협업 규칙과 난이도 기준</x:v>
      </x:c>
      <x:c r="F1" s="58" t="str">
        <x:v>바이브코딩 협업 규칙과 난이도 기준</x:v>
      </x:c>
    </x:row>
    <x:row r="2" ht="28" customHeight="1">
      <x:c r="A2" s="59" t="str">
        <x:v>AI가 코드를 빠르게 만드는 것보다 계약·검증·소유권을 명확히 하는 것을 우선</x:v>
      </x:c>
      <x:c r="B2" s="59" t="str">
        <x:v>AI가 코드를 빠르게 만드는 것보다 계약·검증·소유권을 명확히 하는 것을 우선</x:v>
      </x:c>
      <x:c r="C2" s="59" t="str">
        <x:v>AI가 코드를 빠르게 만드는 것보다 계약·검증·소유권을 명확히 하는 것을 우선</x:v>
      </x:c>
      <x:c r="D2" s="59" t="str">
        <x:v>AI가 코드를 빠르게 만드는 것보다 계약·검증·소유권을 명확히 하는 것을 우선</x:v>
      </x:c>
      <x:c r="E2" s="59" t="str">
        <x:v>AI가 코드를 빠르게 만드는 것보다 계약·검증·소유권을 명확히 하는 것을 우선</x:v>
      </x:c>
      <x:c r="F2" s="59" t="str">
        <x:v>AI가 코드를 빠르게 만드는 것보다 계약·검증·소유권을 명확히 하는 것을 우선</x:v>
      </x:c>
    </x:row>
    <x:row r="3">
      <x:c r="A3" s="60"/>
      <x:c r="B3" s="60"/>
      <x:c r="C3" s="60"/>
      <x:c r="D3" s="60"/>
      <x:c r="E3" s="60"/>
      <x:c r="F3" s="60"/>
    </x:row>
    <x:row r="4" ht="32" customHeight="1">
      <x:c r="A4" s="70" t="str">
        <x:v>규칙 ID</x:v>
      </x:c>
      <x:c r="B4" s="70" t="str">
        <x:v>구분</x:v>
      </x:c>
      <x:c r="C4" s="70" t="str">
        <x:v>규칙</x:v>
      </x:c>
      <x:c r="D4" s="70" t="str">
        <x:v>필요 이유</x:v>
      </x:c>
      <x:c r="E4" s="70" t="str">
        <x:v>적용 예시</x:v>
      </x:c>
      <x:c r="F4" s="70" t="str">
        <x:v>수준</x:v>
      </x:c>
    </x:row>
    <x:row r="5">
      <x:c r="A5" s="21" t="str">
        <x:v>R01</x:v>
      </x:c>
      <x:c r="B5" s="21" t="str">
        <x:v>모듈 소유권</x:v>
      </x:c>
      <x:c r="C5" s="21" t="str">
        <x:v>한 파일/폴더는 한 모듈이 최종 소유</x:v>
      </x:c>
      <x:c r="D5" s="21" t="str">
        <x:v>공통 파일 동시 수정으로 인한 충돌 방지</x:v>
      </x:c>
      <x:c r="E5" s="21" t="str">
        <x:v>변경이 필요하면 소유자에게 계약 변경 요청</x:v>
      </x:c>
      <x:c r="F5" s="21" t="str">
        <x:v>필수</x:v>
      </x:c>
    </x:row>
    <x:row r="6">
      <x:c r="A6" s="22" t="str">
        <x:v>R02</x:v>
      </x:c>
      <x:c r="B6" s="22" t="str">
        <x:v>계약 우선</x:v>
      </x:c>
      <x:c r="C6" s="22" t="str">
        <x:v>코드보다 API·Schema·Manifest를 먼저 확정</x:v>
      </x:c>
      <x:c r="D6" s="22" t="str">
        <x:v>병렬 바이브코딩에서 구현 차이 최소화</x:v>
      </x:c>
      <x:c r="E6" s="22" t="str">
        <x:v>OpenAPI/JSON Schema PR을 먼저 병합</x:v>
      </x:c>
      <x:c r="F6" s="22" t="str">
        <x:v>필수</x:v>
      </x:c>
    </x:row>
    <x:row r="7">
      <x:c r="A7" s="22" t="str">
        <x:v>R03</x:v>
      </x:c>
      <x:c r="B7" s="22" t="str">
        <x:v>Mock 제공</x:v>
      </x:c>
      <x:c r="C7" s="22" t="str">
        <x:v>제공 모듈은 소비 모듈에 Mock과 예제 제공</x:v>
      </x:c>
      <x:c r="D7" s="22" t="str">
        <x:v>선행 모듈 지연에도 병렬 개발 가능</x:v>
      </x:c>
      <x:c r="E7" s="22" t="str">
        <x:v>M02가 M01에 Mock API 제공</x:v>
      </x:c>
      <x:c r="F7" s="22" t="str">
        <x:v>필수</x:v>
      </x:c>
    </x:row>
    <x:row r="8">
      <x:c r="A8" s="22" t="str">
        <x:v>R04</x:v>
      </x:c>
      <x:c r="B8" s="22" t="str">
        <x:v>작은 PR</x:v>
      </x:c>
      <x:c r="C8" s="22" t="str">
        <x:v>한 PR은 한 기능 또는 한 계약 변경</x:v>
      </x:c>
      <x:c r="D8" s="22" t="str">
        <x:v>AI 생성 코드 검토 범위 축소</x:v>
      </x:c>
      <x:c r="E8" s="22" t="str">
        <x:v>대규모 자동 생성 PR 금지</x:v>
      </x:c>
      <x:c r="F8" s="22" t="str">
        <x:v>필수</x:v>
      </x:c>
    </x:row>
    <x:row r="9">
      <x:c r="A9" s="22" t="str">
        <x:v>R05</x:v>
      </x:c>
      <x:c r="B9" s="22" t="str">
        <x:v>테스트 증거</x:v>
      </x:c>
      <x:c r="C9" s="22" t="str">
        <x:v>PR에 실행 명령·결과·스크린샷 또는 로그 첨부</x:v>
      </x:c>
      <x:c r="D9" s="22" t="str">
        <x:v>작동 여부를 대화 설명에 의존하지 않음</x:v>
      </x:c>
      <x:c r="E9" s="22" t="str">
        <x:v>계약·단위·E2E 중 해당 테스트 첨부</x:v>
      </x:c>
      <x:c r="F9" s="22" t="str">
        <x:v>필수</x:v>
      </x:c>
    </x:row>
    <x:row r="10">
      <x:c r="A10" s="22" t="str">
        <x:v>R06</x:v>
      </x:c>
      <x:c r="B10" s="22" t="str">
        <x:v>교차 검토</x:v>
      </x:c>
      <x:c r="C10" s="22" t="str">
        <x:v>지정 검토자가 코드·보안·테스트 확인</x:v>
      </x:c>
      <x:c r="D10" s="22" t="str">
        <x:v>단일 담당자의 착각과 AI 환각 보완</x:v>
      </x:c>
      <x:c r="E10" s="22" t="str">
        <x:v>회원 07과 08은 상호 검토</x:v>
      </x:c>
      <x:c r="F10" s="22" t="str">
        <x:v>필수</x:v>
      </x:c>
    </x:row>
    <x:row r="11">
      <x:c r="A11" s="22" t="str">
        <x:v>R07</x:v>
      </x:c>
      <x:c r="B11" s="22" t="str">
        <x:v>비밀정보</x:v>
      </x:c>
      <x:c r="C11" s="22" t="str">
        <x:v>Prompt·코드·설정·샘플에 실제 계정정보 금지</x:v>
      </x:c>
      <x:c r="D11" s="22" t="str">
        <x:v>AI 도구 입력과 저장소 유출 방지</x:v>
      </x:c>
      <x:c r="E11" s="22" t="str">
        <x:v>Secret은 로컬 환경변수로 주입</x:v>
      </x:c>
      <x:c r="F11" s="22" t="str">
        <x:v>필수</x:v>
      </x:c>
    </x:row>
    <x:row r="12">
      <x:c r="A12" s="22" t="str">
        <x:v>R08</x:v>
      </x:c>
      <x:c r="B12" s="22" t="str">
        <x:v>허용 의존성</x:v>
      </x:c>
      <x:c r="C12" s="22" t="str">
        <x:v>새 라이브러리는 목록·버전·이유를 기록</x:v>
      </x:c>
      <x:c r="D12" s="22" t="str">
        <x:v>폐쇄망 설치와 공급망 위험 관리</x:v>
      </x:c>
      <x:c r="E12" s="22" t="str">
        <x:v>requirements lock과 오프라인 wheel 확인</x:v>
      </x:c>
      <x:c r="F12" s="22" t="str">
        <x:v>필수</x:v>
      </x:c>
    </x:row>
    <x:row r="13">
      <x:c r="A13" s="22" t="str">
        <x:v>R09</x:v>
      </x:c>
      <x:c r="B13" s="22" t="str">
        <x:v>공통 오류</x:v>
      </x:c>
      <x:c r="C13" s="22" t="str">
        <x:v>모듈 간 오류코드와 Trace ID 형식 통일</x:v>
      </x:c>
      <x:c r="D13" s="22" t="str">
        <x:v>장애 위치와 원인 추적</x:v>
      </x:c>
      <x:c r="E13" s="22" t="str">
        <x:v>RAG_INDEX_INCOMPATIBLE 등 표준화</x:v>
      </x:c>
      <x:c r="F13" s="22" t="str">
        <x:v>필수</x:v>
      </x:c>
    </x:row>
    <x:row r="14">
      <x:c r="A14" s="22" t="str">
        <x:v>R10</x:v>
      </x:c>
      <x:c r="B14" s="22" t="str">
        <x:v>샘플 자산</x:v>
      </x:c>
      <x:c r="C14" s="22" t="str">
        <x:v>모든 모듈은 최소 실행 샘플을 유지</x:v>
      </x:c>
      <x:c r="D14" s="22" t="str">
        <x:v>통합 전 독립 검증 가능</x:v>
      </x:c>
      <x:c r="E14" s="22" t="str">
        <x:v>hello-agent·hr-policy-rag·mock-mcp</x:v>
      </x:c>
      <x:c r="F14" s="22" t="str">
        <x:v>필수</x:v>
      </x:c>
    </x:row>
    <x:row r="15">
      <x:c r="A15" s="22" t="str">
        <x:v>R11</x:v>
      </x:c>
      <x:c r="B15" s="22" t="str">
        <x:v>Done 기준</x:v>
      </x:c>
      <x:c r="C15" s="22" t="str">
        <x:v>코드 작성만으로 완료 처리하지 않음</x:v>
      </x:c>
      <x:c r="D15" s="22" t="str">
        <x:v>문서·테스트·통합까지 완료 정의</x:v>
      </x:c>
      <x:c r="E15" s="22" t="str">
        <x:v>Acceptance 열을 모두 충족</x:v>
      </x:c>
      <x:c r="F15" s="22" t="str">
        <x:v>필수</x:v>
      </x:c>
    </x:row>
    <x:row r="16">
      <x:c r="A16" s="22" t="str">
        <x:v>R12</x:v>
      </x:c>
      <x:c r="B16" s="22" t="str">
        <x:v>AI 사용 기록</x:v>
      </x:c>
      <x:c r="C16" s="22" t="str">
        <x:v>복잡한 생성 코드에는 사용한 요구사항과 검증 결과 기록</x:v>
      </x:c>
      <x:c r="D16" s="22" t="str">
        <x:v>재현성과 검토 가능성 확보</x:v>
      </x:c>
      <x:c r="E16" s="22" t="str">
        <x:v>PR 본문에 생성 범위·수동 검토 내용 기록</x:v>
      </x:c>
      <x:c r="F16" s="22" t="str">
        <x:v>권장</x:v>
      </x:c>
    </x:row>
    <x:row r="17">
      <x:c r="A17" s="22" t="str">
        <x:v>R13</x:v>
      </x:c>
      <x:c r="B17" s="22" t="str">
        <x:v>주간 통합</x:v>
      </x:c>
      <x:c r="C17" s="22" t="str">
        <x:v>매주 1회 최신 모듈로 통합 브랜치 검증</x:v>
      </x:c>
      <x:c r="D17" s="22" t="str">
        <x:v>마지막 주 대규모 통합 실패 방지</x:v>
      </x:c>
      <x:c r="E17" s="22" t="str">
        <x:v>금요일 대표 E2E 실행</x:v>
      </x:c>
      <x:c r="F17" s="22" t="str">
        <x:v>필수</x:v>
      </x:c>
    </x:row>
    <x:row r="18">
      <x:c r="A18" s="22" t="str">
        <x:v>R14</x:v>
      </x:c>
      <x:c r="B18" s="22" t="str">
        <x:v>변경 통제</x:v>
      </x:c>
      <x:c r="C18" s="22" t="str">
        <x:v>Schema 변경은 영향 모듈 동의 후 반영</x:v>
      </x:c>
      <x:c r="D18" s="22" t="str">
        <x:v>12개 작업 스트림 연쇄 파손 방지</x:v>
      </x:c>
      <x:c r="E18" s="22" t="str">
        <x:v>C06 변경 시 M04·M05·M06 승인</x:v>
      </x:c>
      <x:c r="F18" s="22" t="str">
        <x:v>필수</x:v>
      </x:c>
    </x:row>
    <x:row r="19">
      <x:c r="A19" s="23" t="str">
        <x:v>R15</x:v>
      </x:c>
      <x:c r="B19" s="23" t="str">
        <x:v>데이터 최소화</x:v>
      </x:c>
      <x:c r="C19" s="23" t="str">
        <x:v>테스트·로그에는 최소한의 비식별 데이터 사용</x:v>
      </x:c>
      <x:c r="D19" s="23" t="str">
        <x:v>사내 데이터 노출 방지</x:v>
      </x:c>
      <x:c r="E19" s="23" t="str">
        <x:v>실제 고객정보 대신 합성 데이터</x:v>
      </x:c>
      <x:c r="F19" s="23" t="str">
        <x:v>필수</x:v>
      </x:c>
    </x:row>
    <x:row r="20">
      <x:c r="A20" s="60"/>
      <x:c r="B20" s="60"/>
      <x:c r="C20" s="60"/>
      <x:c r="D20" s="60"/>
      <x:c r="E20" s="60"/>
      <x:c r="F20" s="60"/>
    </x:row>
    <x:row r="21">
      <x:c r="A21" s="60"/>
      <x:c r="B21" s="60"/>
      <x:c r="C21" s="60"/>
      <x:c r="D21" s="60"/>
      <x:c r="E21" s="60"/>
      <x:c r="F21" s="60"/>
    </x:row>
    <x:row r="22">
      <x:c r="A22" s="69" t="str">
        <x:v>난이도별 역할 기준</x:v>
      </x:c>
      <x:c r="B22" s="69" t="str">
        <x:v>난이도별 역할 기준</x:v>
      </x:c>
      <x:c r="C22" s="69" t="str">
        <x:v>난이도별 역할 기준</x:v>
      </x:c>
      <x:c r="D22" s="69" t="str">
        <x:v>난이도별 역할 기준</x:v>
      </x:c>
      <x:c r="E22" s="69" t="str">
        <x:v>난이도별 역할 기준</x:v>
      </x:c>
      <x:c r="F22" s="60"/>
    </x:row>
    <x:row r="23" ht="32" customHeight="1">
      <x:c r="A23" s="70" t="str">
        <x:v>난이도</x:v>
      </x:c>
      <x:c r="B23" s="70" t="str">
        <x:v>작업 성격</x:v>
      </x:c>
      <x:c r="C23" s="70" t="str">
        <x:v>적합한 모듈</x:v>
      </x:c>
      <x:c r="D23" s="70" t="str">
        <x:v>완료 책임</x:v>
      </x:c>
      <x:c r="E23" s="70" t="str">
        <x:v>필요 지원</x:v>
      </x:c>
      <x:c r="F23" s="60"/>
    </x:row>
    <x:row r="24">
      <x:c r="A24" s="21" t="str">
        <x:v>초중급</x:v>
      </x:c>
      <x:c r="B24" s="21" t="str">
        <x:v>정해진 Schema와 예제를 따라 구현</x:v>
      </x:c>
      <x:c r="C24" s="21" t="str">
        <x:v>화면 상태, YAML Template, 문서, Fixture</x:v>
      </x:c>
      <x:c r="D24" s="21" t="str">
        <x:v>독립 실행과 테스트 증거</x:v>
      </x:c>
      <x:c r="E24" s="21" t="str">
        <x:v>고급 담당자의 설계 리뷰</x:v>
      </x:c>
      <x:c r="F24" s="60"/>
    </x:row>
    <x:row r="25">
      <x:c r="A25" s="22" t="str">
        <x:v>중급</x:v>
      </x:c>
      <x:c r="B25" s="22" t="str">
        <x:v>명확한 입력·출력 계약을 갖는 모듈 구현</x:v>
      </x:c>
      <x:c r="C25" s="22" t="str">
        <x:v>Portal UI, Bundle, Desktop, RAG 평가</x:v>
      </x:c>
      <x:c r="D25" s="22" t="str">
        <x:v>오류 처리와 계약 테스트</x:v>
      </x:c>
      <x:c r="E25" s="22" t="str">
        <x:v>교차 모듈 통합 리뷰</x:v>
      </x:c>
      <x:c r="F25" s="60"/>
    </x:row>
    <x:row r="26">
      <x:c r="A26" s="23" t="str">
        <x:v>고급</x:v>
      </x:c>
      <x:c r="B26" s="23" t="str">
        <x:v>핵심 실행·보안·데이터 경계 설계</x:v>
      </x:c>
      <x:c r="C26" s="23" t="str">
        <x:v>Runtime, Registry, Index/Search, MCP, Security</x:v>
      </x:c>
      <x:c r="D26" s="23" t="str">
        <x:v>성능·보안·호환성까지 검증</x:v>
      </x:c>
      <x:c r="E26" s="23" t="str">
        <x:v>다른 고급 담당자 상호 리뷰</x:v>
      </x:c>
      <x:c r="F26" s="60"/>
    </x:row>
  </x:sheetData>
  <x:mergeCells>
    <x:mergeCell ref="A1:F1"/>
    <x:mergeCell ref="A2:F2"/>
    <x:mergeCell ref="A22:E22"/>
  </x:mergeCells>
  <x:conditionalFormatting sqref="F5:F19">
    <x:cfRule type="containsText" dxfId="14" priority="1" operator="containsText" text="필수"/>
  </x:conditionalFormatting>
  <x:pageMargins left="0.7" right="0.7" top="0.75" bottom="0.75" header="0.3" footer="0.3"/>
  <x:tableParts count="1">
    <x:tablePart xmlns:r="http://schemas.openxmlformats.org/officeDocument/2006/relationships" r:id="R4ce7092828634c95"/>
  </x:tableParts>
</x:worksheet>
</file>